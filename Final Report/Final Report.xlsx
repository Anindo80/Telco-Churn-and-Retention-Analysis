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2.xml" ContentType="application/vnd.openxmlformats-officedocument.spreadsheetml.pivot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3.xml" ContentType="application/vnd.openxmlformats-officedocument.spreadsheetml.pivot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4.xml" ContentType="application/vnd.openxmlformats-officedocument.spreadsheetml.pivotTable+xml"/>
  <Override PartName="/xl/tables/table7.xml" ContentType="application/vnd.openxmlformats-officedocument.spreadsheetml.table+xml"/>
  <Override PartName="/xl/queryTables/queryTable7.xml" ContentType="application/vnd.openxmlformats-officedocument.spreadsheetml.query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awpc2\Downloads\DA\New folder\Final Report\"/>
    </mc:Choice>
  </mc:AlternateContent>
  <xr:revisionPtr revIDLastSave="0" documentId="13_ncr:1_{C0B2DACC-53B7-449A-B49B-05E09DC154E7}" xr6:coauthVersionLast="47" xr6:coauthVersionMax="47" xr10:uidLastSave="{00000000-0000-0000-0000-000000000000}"/>
  <bookViews>
    <workbookView xWindow="-120" yWindow="-120" windowWidth="38640" windowHeight="21120" tabRatio="780" firstSheet="7" activeTab="11" xr2:uid="{F84691F4-BBB5-4BC7-B739-AD4221675A5C}"/>
  </bookViews>
  <sheets>
    <sheet name="Q3_Customer_Stats" sheetId="2" state="hidden" r:id="rId1"/>
    <sheet name="Churn_Category_Analysis" sheetId="3" state="hidden" r:id="rId2"/>
    <sheet name="Churn_Reason_Analysis" sheetId="4" state="hidden" r:id="rId3"/>
    <sheet name="City_Churn_Analysis" sheetId="5" state="hidden" r:id="rId4"/>
    <sheet name="Phone_Internet_Churn_Analysis " sheetId="9" state="hidden" r:id="rId5"/>
    <sheet name="Contract_Tenure_Churn_Analysis" sheetId="11" state="hidden" r:id="rId6"/>
    <sheet name="Offer_Churn_Analysis" sheetId="10" state="hidden" r:id="rId7"/>
    <sheet name="Purpose" sheetId="12" r:id="rId8"/>
    <sheet name="Goals" sheetId="13" r:id="rId9"/>
    <sheet name="Dashboard" sheetId="1" r:id="rId10"/>
    <sheet name="Summary" sheetId="15" r:id="rId11"/>
    <sheet name="Next Steps" sheetId="16" r:id="rId12"/>
  </sheets>
  <definedNames>
    <definedName name="ExternalData_1" localSheetId="4" hidden="1">'Phone_Internet_Churn_Analysis '!$A$1:$D$19</definedName>
    <definedName name="ExternalData_1" localSheetId="0" hidden="1">Q3_Customer_Stats!$A$1:$D$2</definedName>
    <definedName name="ExternalData_2" localSheetId="1" hidden="1">'Churn_Category_Analysis'!$A$1:$C$6</definedName>
    <definedName name="ExternalData_2" localSheetId="6" hidden="1">Offer_Churn_Analysis!$A$1:$F$7</definedName>
    <definedName name="ExternalData_3" localSheetId="2" hidden="1">'Churn_Reason_Analysis'!$A$1:$C$14</definedName>
    <definedName name="ExternalData_3" localSheetId="5" hidden="1">'Contract_Tenure_Churn_Analysis'!$A$1:$D$16</definedName>
    <definedName name="ExternalData_4" localSheetId="3" hidden="1">'City_Churn_Analysis'!$A$1:$E$11</definedName>
    <definedName name="Slicer_contract_type">#N/A</definedName>
  </definedNames>
  <calcPr calcId="191029"/>
  <pivotCaches>
    <pivotCache cacheId="0" r:id="rId13"/>
    <pivotCache cacheId="1" r:id="rId14"/>
    <pivotCache cacheId="2" r:id="rId15"/>
    <pivotCache cacheId="3" r:id="rId16"/>
  </pivotCaches>
  <extLs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1" i="5" l="1"/>
  <c r="F10" i="5"/>
  <c r="F9" i="5"/>
  <c r="F8" i="5"/>
  <c r="F6" i="5"/>
  <c r="F7" i="5"/>
  <c r="F5" i="5"/>
  <c r="F4" i="5"/>
  <c r="F3" i="5"/>
  <c r="F2" i="5"/>
  <c r="E16" i="9"/>
  <c r="E17" i="9"/>
  <c r="E18" i="9"/>
  <c r="E19" i="9"/>
  <c r="E15" i="9"/>
  <c r="D16" i="9"/>
  <c r="D17" i="9"/>
  <c r="D18" i="9"/>
  <c r="D19" i="9"/>
  <c r="D15"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35B79EC-BD63-43D7-9E02-869A2FAA188A}" keepAlive="1" name="Query - Churn_Category_Analysis" description="Connection to the 'Churn_Category_Analysis' query in the workbook." type="5" refreshedVersion="8" background="1" saveData="1">
    <dbPr connection="Provider=Microsoft.Mashup.OleDb.1;Data Source=$Workbook$;Location=Churn_Category_Analysis;Extended Properties=&quot;&quot;" command="SELECT * FROM [Churn_Category_Analysis]"/>
  </connection>
  <connection id="2" xr16:uid="{0CC65601-84A2-4443-866D-B7B206DEEDB5}" keepAlive="1" name="Query - Churn_Reason_Analysis" description="Connection to the 'Churn_Reason_Analysis' query in the workbook." type="5" refreshedVersion="8" background="1" saveData="1">
    <dbPr connection="Provider=Microsoft.Mashup.OleDb.1;Data Source=$Workbook$;Location=Churn_Reason_Analysis;Extended Properties=&quot;&quot;" command="SELECT * FROM [Churn_Reason_Analysis]"/>
  </connection>
  <connection id="3" xr16:uid="{CCD713E6-0191-44FE-BD05-CD597A405552}" keepAlive="1" name="Query - City_Churn_Analysis" description="Connection to the 'City_Churn_Analysis' query in the workbook." type="5" refreshedVersion="8" background="1" saveData="1">
    <dbPr connection="Provider=Microsoft.Mashup.OleDb.1;Data Source=$Workbook$;Location=City_Churn_Analysis;Extended Properties=&quot;&quot;" command="SELECT * FROM [City_Churn_Analysis]"/>
  </connection>
  <connection id="4" xr16:uid="{778D577C-30CC-4AF1-B662-59E9F963352D}" keepAlive="1" name="Query - Contract_Tenure_Churn_Analysis" description="Connection to the 'Contract_Tenure_Churn_Analysis' query in the workbook." type="5" refreshedVersion="8" background="1" saveData="1">
    <dbPr connection="Provider=Microsoft.Mashup.OleDb.1;Data Source=$Workbook$;Location=Contract_Tenure_Churn_Analysis;Extended Properties=&quot;&quot;" command="SELECT * FROM [Contract_Tenure_Churn_Analysis]"/>
  </connection>
  <connection id="5" xr16:uid="{E6C70194-91E2-45A8-ACE8-7DD7A86A97F0}" keepAlive="1" name="Query - Offer_Churn_Analysis" description="Connection to the 'Offer_Churn_Analysis' query in the workbook." type="5" refreshedVersion="8" background="1" saveData="1">
    <dbPr connection="Provider=Microsoft.Mashup.OleDb.1;Data Source=$Workbook$;Location=Offer_Churn_Analysis;Extended Properties=&quot;&quot;" command="SELECT * FROM [Offer_Churn_Analysis]"/>
  </connection>
  <connection id="6" xr16:uid="{3E7BA33F-FE67-4841-B8F8-D356F0DA331B}" keepAlive="1" name="Query - Phone_Internet_Churn_Analysis" description="Connection to the 'Phone_Internet_Churn_Analysis' query in the workbook." type="5" refreshedVersion="0" background="1">
    <dbPr connection="Provider=Microsoft.Mashup.OleDb.1;Data Source=$Workbook$;Location=Phone_Internet_Churn_Analysis;Extended Properties=&quot;&quot;" command="SELECT * FROM [Phone_Internet_Churn_Analysis]"/>
  </connection>
  <connection id="7" xr16:uid="{B51E0B89-76DE-4E74-9662-2303156E724A}" keepAlive="1" name="Query - Phone_Internet_Churn_Analysis (2)" description="Connection to the 'Phone_Internet_Churn_Analysis (2)' query in the workbook." type="5" refreshedVersion="8" background="1" saveData="1">
    <dbPr connection="Provider=Microsoft.Mashup.OleDb.1;Data Source=$Workbook$;Location=&quot;Phone_Internet_Churn_Analysis (2)&quot;;Extended Properties=&quot;&quot;" command="SELECT * FROM [Phone_Internet_Churn_Analysis (2)]"/>
  </connection>
  <connection id="8" xr16:uid="{8DF93575-8C60-4BB6-ACBB-AF81AA66AE86}" keepAlive="1" name="Query - Phone_Internet_Churn_Analysis (3)" description="Connection to the 'Phone_Internet_Churn_Analysis (3)' query in the workbook." type="5" refreshedVersion="8" background="1" saveData="1">
    <dbPr connection="Provider=Microsoft.Mashup.OleDb.1;Data Source=$Workbook$;Location=&quot;Phone_Internet_Churn_Analysis (3)&quot;;Extended Properties=&quot;&quot;" command="SELECT * FROM [Phone_Internet_Churn_Analysis (3)]"/>
  </connection>
  <connection id="9" xr16:uid="{C95B5FE3-3A4B-4BE6-A3B2-F4C8DFA498C1}" keepAlive="1" name="Query - Q3_Customer_Stats" description="Connection to the 'Q3_Customer_Stats' query in the workbook." type="5" refreshedVersion="8" background="1" saveData="1">
    <dbPr connection="Provider=Microsoft.Mashup.OleDb.1;Data Source=$Workbook$;Location=Q3_Customer_Stats;Extended Properties=&quot;&quot;" command="SELECT * FROM [Q3_Customer_Stats]"/>
  </connection>
</connections>
</file>

<file path=xl/sharedStrings.xml><?xml version="1.0" encoding="utf-8"?>
<sst xmlns="http://schemas.openxmlformats.org/spreadsheetml/2006/main" count="226" uniqueCount="107">
  <si>
    <t>total_customers</t>
  </si>
  <si>
    <t>total_stayed</t>
  </si>
  <si>
    <t>total_churned</t>
  </si>
  <si>
    <t>total_joined</t>
  </si>
  <si>
    <t>churn_category</t>
  </si>
  <si>
    <t>total_churnend</t>
  </si>
  <si>
    <t>churn_rate(%)</t>
  </si>
  <si>
    <t>Competitor</t>
  </si>
  <si>
    <t>Attitude</t>
  </si>
  <si>
    <t>Dissatisfaction</t>
  </si>
  <si>
    <t>Price</t>
  </si>
  <si>
    <t>Other</t>
  </si>
  <si>
    <t>Row Labels</t>
  </si>
  <si>
    <t>Grand Total</t>
  </si>
  <si>
    <t>Churn Category</t>
  </si>
  <si>
    <t>Churn Rate (%)</t>
  </si>
  <si>
    <t>churn_reason</t>
  </si>
  <si>
    <t>Attitude of support person</t>
  </si>
  <si>
    <t>Attitude of service provider</t>
  </si>
  <si>
    <t>Competitor had better devices</t>
  </si>
  <si>
    <t>Competitor made better offer</t>
  </si>
  <si>
    <t>Competitor offered more data</t>
  </si>
  <si>
    <t>Competitor offered higher download speeds</t>
  </si>
  <si>
    <t>Product dissatisfaction</t>
  </si>
  <si>
    <t>Network reliability</t>
  </si>
  <si>
    <t>Service dissatisfaction</t>
  </si>
  <si>
    <t>Limited range of services</t>
  </si>
  <si>
    <t>Lack of self-service on Website</t>
  </si>
  <si>
    <t>Poor expertise of online support</t>
  </si>
  <si>
    <t>Poor expertise of phone support</t>
  </si>
  <si>
    <t>Total Churned</t>
  </si>
  <si>
    <t>city</t>
  </si>
  <si>
    <t>top_reason</t>
  </si>
  <si>
    <t>toal_churned_for_top_reason</t>
  </si>
  <si>
    <t>churn_rate</t>
  </si>
  <si>
    <t>San Diego</t>
  </si>
  <si>
    <t>Los Angeles</t>
  </si>
  <si>
    <t>San Francisco</t>
  </si>
  <si>
    <t>San Jose</t>
  </si>
  <si>
    <t>Fallbrook</t>
  </si>
  <si>
    <t>Sacramento</t>
  </si>
  <si>
    <t>Temecula</t>
  </si>
  <si>
    <t>Escondido</t>
  </si>
  <si>
    <t>Long Beach</t>
  </si>
  <si>
    <t>Moved</t>
  </si>
  <si>
    <t>Glendale</t>
  </si>
  <si>
    <t>Column1</t>
  </si>
  <si>
    <t>phone_service</t>
  </si>
  <si>
    <t>multiple_lines</t>
  </si>
  <si>
    <t>Yes</t>
  </si>
  <si>
    <t>No</t>
  </si>
  <si>
    <t>849</t>
  </si>
  <si>
    <t>850</t>
  </si>
  <si>
    <t/>
  </si>
  <si>
    <t>internet_service</t>
  </si>
  <si>
    <t>internet_type</t>
  </si>
  <si>
    <t>Fiber Optic</t>
  </si>
  <si>
    <t>1236</t>
  </si>
  <si>
    <t>DSL</t>
  </si>
  <si>
    <t>307</t>
  </si>
  <si>
    <t>Cable</t>
  </si>
  <si>
    <t>213</t>
  </si>
  <si>
    <t>service_type</t>
  </si>
  <si>
    <t>2170</t>
  </si>
  <si>
    <t>2076</t>
  </si>
  <si>
    <t>561</t>
  </si>
  <si>
    <t>1698</t>
  </si>
  <si>
    <t>1230</t>
  </si>
  <si>
    <t>Single Phone Line</t>
  </si>
  <si>
    <t>Muliple Phone Line</t>
  </si>
  <si>
    <t>Cable Internet</t>
  </si>
  <si>
    <t>Fiber Optic Internet</t>
  </si>
  <si>
    <t>DSL Internet</t>
  </si>
  <si>
    <t>Churn Rate</t>
  </si>
  <si>
    <t>Retention Rate</t>
  </si>
  <si>
    <t xml:space="preserve"> Retention Rate</t>
  </si>
  <si>
    <t xml:space="preserve"> Churn Rate</t>
  </si>
  <si>
    <t>offer</t>
  </si>
  <si>
    <t>total_used</t>
  </si>
  <si>
    <t>churned</t>
  </si>
  <si>
    <t>retained</t>
  </si>
  <si>
    <t>retain_rate</t>
  </si>
  <si>
    <t>None</t>
  </si>
  <si>
    <t>Offer E</t>
  </si>
  <si>
    <t>Offer D</t>
  </si>
  <si>
    <t>Offer A</t>
  </si>
  <si>
    <t>Offer C</t>
  </si>
  <si>
    <t>Offer B</t>
  </si>
  <si>
    <t>Service Type</t>
  </si>
  <si>
    <t>Offer Type</t>
  </si>
  <si>
    <t>contract_type</t>
  </si>
  <si>
    <t>tenure_group</t>
  </si>
  <si>
    <t>Month-to-Month</t>
  </si>
  <si>
    <t>0-12 months</t>
  </si>
  <si>
    <t>13-24 months</t>
  </si>
  <si>
    <t>One Year</t>
  </si>
  <si>
    <t>25-36 months</t>
  </si>
  <si>
    <t>37-48 months</t>
  </si>
  <si>
    <t>49+ months</t>
  </si>
  <si>
    <t>Two Year</t>
  </si>
  <si>
    <t>Total Retained</t>
  </si>
  <si>
    <t>Dashboard Link</t>
  </si>
  <si>
    <t>Purpose</t>
  </si>
  <si>
    <t xml:space="preserve">Goals </t>
  </si>
  <si>
    <t>Summary</t>
  </si>
  <si>
    <t>Next Steps</t>
  </si>
  <si>
    <t>Goals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</si>
</sst>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24"/>
      <color theme="1"/>
      <name val="Times New Roman"/>
      <family val="1"/>
    </font>
    <font>
      <u/>
      <sz val="11"/>
      <color theme="10"/>
      <name val="Aptos Narrow"/>
      <family val="2"/>
      <scheme val="minor"/>
    </font>
    <font>
      <b/>
      <u/>
      <sz val="20"/>
      <color theme="10"/>
      <name val="Times New Roman"/>
      <family val="1"/>
    </font>
  </fonts>
  <fills count="4">
    <fill>
      <patternFill patternType="none"/>
    </fill>
    <fill>
      <patternFill patternType="gray125"/>
    </fill>
    <fill>
      <patternFill patternType="solid">
        <fgColor theme="0"/>
        <bgColor indexed="64"/>
      </patternFill>
    </fill>
    <fill>
      <patternFill patternType="solid">
        <fgColor theme="2"/>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4">
    <xf numFmtId="0" fontId="0" fillId="0" borderId="0" xfId="0"/>
    <xf numFmtId="10" fontId="0" fillId="0" borderId="0" xfId="0" applyNumberFormat="1"/>
    <xf numFmtId="0" fontId="0" fillId="0" borderId="0" xfId="0" pivotButton="1"/>
    <xf numFmtId="0" fontId="0" fillId="0" borderId="0" xfId="0" applyAlignment="1">
      <alignment horizontal="left"/>
    </xf>
    <xf numFmtId="0" fontId="0" fillId="2" borderId="0" xfId="0" applyFill="1"/>
    <xf numFmtId="0" fontId="1" fillId="0" borderId="0" xfId="0" applyFont="1"/>
    <xf numFmtId="0" fontId="2" fillId="0" borderId="0" xfId="0" applyFont="1"/>
    <xf numFmtId="0" fontId="3" fillId="0" borderId="0" xfId="1"/>
    <xf numFmtId="0" fontId="0" fillId="3" borderId="0" xfId="0" applyFill="1"/>
    <xf numFmtId="0" fontId="4" fillId="3" borderId="0" xfId="1" applyFont="1" applyFill="1"/>
    <xf numFmtId="0" fontId="1" fillId="3" borderId="0" xfId="0" applyFont="1" applyFill="1"/>
    <xf numFmtId="0" fontId="1" fillId="2" borderId="0" xfId="0" applyFont="1" applyFill="1"/>
    <xf numFmtId="0" fontId="2" fillId="0" borderId="0" xfId="0" applyFont="1" applyAlignment="1">
      <alignment horizontal="left" indent="4"/>
    </xf>
    <xf numFmtId="0" fontId="0" fillId="0" borderId="0" xfId="0" applyFill="1"/>
  </cellXfs>
  <cellStyles count="2">
    <cellStyle name="Hyperlink" xfId="1" builtinId="8"/>
    <cellStyle name="Normal" xfId="0" builtinId="0"/>
  </cellStyles>
  <dxfs count="1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E5CC"/>
      <color rgb="FFFFCC99"/>
      <color rgb="FFFFB373"/>
      <color rgb="FFFF9A4D"/>
      <color rgb="FFFF8126"/>
      <color rgb="FFFF6A00"/>
      <color rgb="FFE65A00"/>
      <color rgb="FFC24A00"/>
      <color rgb="FF9C3B00"/>
      <color rgb="FF7A2E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Report.xlsx]Churn_Category_Analysis!PivotTable47</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Churn</a:t>
            </a:r>
            <a:r>
              <a:rPr lang="en-US" b="1" baseline="0">
                <a:latin typeface="Times New Roman" panose="02020603050405020304" pitchFamily="18" charset="0"/>
                <a:cs typeface="Times New Roman" panose="02020603050405020304" pitchFamily="18" charset="0"/>
              </a:rPr>
              <a:t> Category Distribution</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'Churn_Category_Analysis'!$B$10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39A-4BF6-8D97-E4F03634FC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39A-4BF6-8D97-E4F03634FC7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39A-4BF6-8D97-E4F03634FC7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39A-4BF6-8D97-E4F03634FC7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39A-4BF6-8D97-E4F03634FC7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'Churn_Category_Analysis'!$A$11:$A$15</c:f>
              <c:strCache>
                <c:ptCount val="5"/>
                <c:pt idx="0">
                  <c:v>Competitor</c:v>
                </c:pt>
                <c:pt idx="1">
                  <c:v>Attitude</c:v>
                </c:pt>
                <c:pt idx="2">
                  <c:v>Dissatisfaction</c:v>
                </c:pt>
                <c:pt idx="3">
                  <c:v>Other</c:v>
                </c:pt>
                <c:pt idx="4">
                  <c:v>Price</c:v>
                </c:pt>
              </c:strCache>
            </c:strRef>
          </c:cat>
          <c:val>
            <c:numRef>
              <c:f>'Churn_Category_Analysis'!$B$11:$B$15</c:f>
              <c:numCache>
                <c:formatCode>General</c:formatCode>
                <c:ptCount val="5"/>
                <c:pt idx="0">
                  <c:v>45</c:v>
                </c:pt>
                <c:pt idx="1">
                  <c:v>16.8</c:v>
                </c:pt>
                <c:pt idx="2">
                  <c:v>16.21</c:v>
                </c:pt>
                <c:pt idx="3">
                  <c:v>10.7</c:v>
                </c:pt>
                <c:pt idx="4">
                  <c:v>11.29</c:v>
                </c:pt>
              </c:numCache>
            </c:numRef>
          </c:val>
          <c:extLst>
            <c:ext xmlns:c16="http://schemas.microsoft.com/office/drawing/2014/chart" uri="{C3380CC4-5D6E-409C-BE32-E72D297353CC}">
              <c16:uniqueId val="{0000000A-239A-4BF6-8D97-E4F03634FC7D}"/>
            </c:ext>
          </c:extLst>
        </c:ser>
        <c:dLbls>
          <c:dLblPos val="ctr"/>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Churn</a:t>
            </a:r>
            <a:r>
              <a:rPr lang="en-US" b="1" baseline="0">
                <a:latin typeface="Times New Roman" panose="02020603050405020304" pitchFamily="18" charset="0"/>
                <a:cs typeface="Times New Roman" panose="02020603050405020304" pitchFamily="18" charset="0"/>
              </a:rPr>
              <a:t> Reasons for Top 3 Categories</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'Churn_Reason_Analysis'!$C$1</c:f>
              <c:strCache>
                <c:ptCount val="1"/>
                <c:pt idx="0">
                  <c:v>total_churned</c:v>
                </c:pt>
              </c:strCache>
            </c:strRef>
          </c:tx>
          <c:spPr>
            <a:solidFill>
              <a:schemeClr val="accent1"/>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01-60D3-47BC-ADA5-7E14677F0A39}"/>
              </c:ext>
            </c:extLst>
          </c:dPt>
          <c:dPt>
            <c:idx val="1"/>
            <c:invertIfNegative val="0"/>
            <c:bubble3D val="0"/>
            <c:spPr>
              <a:solidFill>
                <a:schemeClr val="accent3"/>
              </a:solidFill>
              <a:ln>
                <a:noFill/>
              </a:ln>
              <a:effectLst/>
            </c:spPr>
            <c:extLst>
              <c:ext xmlns:c16="http://schemas.microsoft.com/office/drawing/2014/chart" uri="{C3380CC4-5D6E-409C-BE32-E72D297353CC}">
                <c16:uniqueId val="{00000003-60D3-47BC-ADA5-7E14677F0A39}"/>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60D3-47BC-ADA5-7E14677F0A39}"/>
              </c:ext>
            </c:extLst>
          </c:dPt>
          <c:dPt>
            <c:idx val="3"/>
            <c:invertIfNegative val="0"/>
            <c:bubble3D val="0"/>
            <c:spPr>
              <a:solidFill>
                <a:schemeClr val="accent3"/>
              </a:solidFill>
              <a:ln>
                <a:noFill/>
              </a:ln>
              <a:effectLst/>
            </c:spPr>
            <c:extLst>
              <c:ext xmlns:c16="http://schemas.microsoft.com/office/drawing/2014/chart" uri="{C3380CC4-5D6E-409C-BE32-E72D297353CC}">
                <c16:uniqueId val="{00000007-60D3-47BC-ADA5-7E14677F0A39}"/>
              </c:ext>
            </c:extLst>
          </c:dPt>
          <c:dPt>
            <c:idx val="4"/>
            <c:invertIfNegative val="0"/>
            <c:bubble3D val="0"/>
            <c:spPr>
              <a:solidFill>
                <a:schemeClr val="accent3"/>
              </a:solidFill>
              <a:ln>
                <a:noFill/>
              </a:ln>
              <a:effectLst/>
            </c:spPr>
            <c:extLst>
              <c:ext xmlns:c16="http://schemas.microsoft.com/office/drawing/2014/chart" uri="{C3380CC4-5D6E-409C-BE32-E72D297353CC}">
                <c16:uniqueId val="{00000009-60D3-47BC-ADA5-7E14677F0A39}"/>
              </c:ext>
            </c:extLst>
          </c:dPt>
          <c:dPt>
            <c:idx val="5"/>
            <c:invertIfNegative val="0"/>
            <c:bubble3D val="0"/>
            <c:spPr>
              <a:solidFill>
                <a:schemeClr val="accent3"/>
              </a:solidFill>
              <a:ln>
                <a:noFill/>
              </a:ln>
              <a:effectLst/>
            </c:spPr>
            <c:extLst>
              <c:ext xmlns:c16="http://schemas.microsoft.com/office/drawing/2014/chart" uri="{C3380CC4-5D6E-409C-BE32-E72D297353CC}">
                <c16:uniqueId val="{0000000B-60D3-47BC-ADA5-7E14677F0A39}"/>
              </c:ext>
            </c:extLst>
          </c:dPt>
          <c:dPt>
            <c:idx val="6"/>
            <c:invertIfNegative val="0"/>
            <c:bubble3D val="0"/>
            <c:spPr>
              <a:solidFill>
                <a:schemeClr val="accent3"/>
              </a:solidFill>
              <a:ln>
                <a:noFill/>
              </a:ln>
              <a:effectLst/>
            </c:spPr>
            <c:extLst>
              <c:ext xmlns:c16="http://schemas.microsoft.com/office/drawing/2014/chart" uri="{C3380CC4-5D6E-409C-BE32-E72D297353CC}">
                <c16:uniqueId val="{0000000D-60D3-47BC-ADA5-7E14677F0A39}"/>
              </c:ext>
            </c:extLst>
          </c:dPt>
          <c:dPt>
            <c:idx val="7"/>
            <c:invertIfNegative val="0"/>
            <c:bubble3D val="0"/>
            <c:spPr>
              <a:solidFill>
                <a:schemeClr val="accent2"/>
              </a:solidFill>
              <a:ln>
                <a:noFill/>
              </a:ln>
              <a:effectLst/>
            </c:spPr>
            <c:extLst>
              <c:ext xmlns:c16="http://schemas.microsoft.com/office/drawing/2014/chart" uri="{C3380CC4-5D6E-409C-BE32-E72D297353CC}">
                <c16:uniqueId val="{0000000F-60D3-47BC-ADA5-7E14677F0A39}"/>
              </c:ext>
            </c:extLst>
          </c:dPt>
          <c:dPt>
            <c:idx val="8"/>
            <c:invertIfNegative val="0"/>
            <c:bubble3D val="0"/>
            <c:spPr>
              <a:solidFill>
                <a:schemeClr val="accent2"/>
              </a:solidFill>
              <a:ln>
                <a:noFill/>
              </a:ln>
              <a:effectLst/>
            </c:spPr>
            <c:extLst>
              <c:ext xmlns:c16="http://schemas.microsoft.com/office/drawing/2014/chart" uri="{C3380CC4-5D6E-409C-BE32-E72D297353CC}">
                <c16:uniqueId val="{00000011-60D3-47BC-ADA5-7E14677F0A39}"/>
              </c:ext>
            </c:extLst>
          </c:dPt>
          <c:dPt>
            <c:idx val="9"/>
            <c:invertIfNegative val="0"/>
            <c:bubble3D val="0"/>
            <c:spPr>
              <a:solidFill>
                <a:schemeClr val="accent1"/>
              </a:solidFill>
              <a:ln>
                <a:noFill/>
              </a:ln>
              <a:effectLst/>
            </c:spPr>
            <c:extLst>
              <c:ext xmlns:c16="http://schemas.microsoft.com/office/drawing/2014/chart" uri="{C3380CC4-5D6E-409C-BE32-E72D297353CC}">
                <c16:uniqueId val="{00000013-60D3-47BC-ADA5-7E14677F0A39}"/>
              </c:ext>
            </c:extLst>
          </c:dPt>
          <c:cat>
            <c:strRef>
              <c:f>'Churn_Reason_Analysis'!$B$2:$B$14</c:f>
              <c:strCache>
                <c:ptCount val="13"/>
                <c:pt idx="0">
                  <c:v>Poor expertise of phone support</c:v>
                </c:pt>
                <c:pt idx="1">
                  <c:v>Poor expertise of online support</c:v>
                </c:pt>
                <c:pt idx="2">
                  <c:v>Lack of self-service on Website</c:v>
                </c:pt>
                <c:pt idx="3">
                  <c:v>Limited range of services</c:v>
                </c:pt>
                <c:pt idx="4">
                  <c:v>Service dissatisfaction</c:v>
                </c:pt>
                <c:pt idx="5">
                  <c:v>Network reliability</c:v>
                </c:pt>
                <c:pt idx="6">
                  <c:v>Product dissatisfaction</c:v>
                </c:pt>
                <c:pt idx="7">
                  <c:v>Attitude of service provider</c:v>
                </c:pt>
                <c:pt idx="8">
                  <c:v>Attitude of support person</c:v>
                </c:pt>
                <c:pt idx="9">
                  <c:v>Competitor offered higher download speeds</c:v>
                </c:pt>
                <c:pt idx="10">
                  <c:v>Competitor offered more data</c:v>
                </c:pt>
                <c:pt idx="11">
                  <c:v>Competitor made better offer</c:v>
                </c:pt>
                <c:pt idx="12">
                  <c:v>Competitor had better devices</c:v>
                </c:pt>
              </c:strCache>
            </c:strRef>
          </c:cat>
          <c:val>
            <c:numRef>
              <c:f>'Churn_Reason_Analysis'!$C$2:$C$14</c:f>
              <c:numCache>
                <c:formatCode>General</c:formatCode>
                <c:ptCount val="13"/>
                <c:pt idx="0">
                  <c:v>12</c:v>
                </c:pt>
                <c:pt idx="1">
                  <c:v>13</c:v>
                </c:pt>
                <c:pt idx="2">
                  <c:v>29</c:v>
                </c:pt>
                <c:pt idx="3">
                  <c:v>37</c:v>
                </c:pt>
                <c:pt idx="4">
                  <c:v>63</c:v>
                </c:pt>
                <c:pt idx="5">
                  <c:v>72</c:v>
                </c:pt>
                <c:pt idx="6">
                  <c:v>77</c:v>
                </c:pt>
                <c:pt idx="7">
                  <c:v>94</c:v>
                </c:pt>
                <c:pt idx="8">
                  <c:v>220</c:v>
                </c:pt>
                <c:pt idx="9">
                  <c:v>100</c:v>
                </c:pt>
                <c:pt idx="10">
                  <c:v>117</c:v>
                </c:pt>
                <c:pt idx="11">
                  <c:v>311</c:v>
                </c:pt>
                <c:pt idx="12">
                  <c:v>313</c:v>
                </c:pt>
              </c:numCache>
            </c:numRef>
          </c:val>
          <c:extLst>
            <c:ext xmlns:c16="http://schemas.microsoft.com/office/drawing/2014/chart" uri="{C3380CC4-5D6E-409C-BE32-E72D297353CC}">
              <c16:uniqueId val="{00000012-60D3-47BC-ADA5-7E14677F0A39}"/>
            </c:ext>
          </c:extLst>
        </c:ser>
        <c:dLbls>
          <c:showLegendKey val="0"/>
          <c:showVal val="0"/>
          <c:showCatName val="0"/>
          <c:showSerName val="0"/>
          <c:showPercent val="0"/>
          <c:showBubbleSize val="0"/>
        </c:dLbls>
        <c:gapWidth val="182"/>
        <c:axId val="144402783"/>
        <c:axId val="144401823"/>
      </c:barChart>
      <c:catAx>
        <c:axId val="14440278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Reason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01823"/>
        <c:crosses val="autoZero"/>
        <c:auto val="1"/>
        <c:lblAlgn val="ctr"/>
        <c:lblOffset val="100"/>
        <c:noMultiLvlLbl val="0"/>
      </c:catAx>
      <c:valAx>
        <c:axId val="1444018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Churned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027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10 Cities w/</a:t>
            </a:r>
            <a:r>
              <a:rPr lang="en-US" b="1" baseline="0"/>
              <a:t> Most Churn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1"/>
        <c:ser>
          <c:idx val="0"/>
          <c:order val="0"/>
          <c:tx>
            <c:strRef>
              <c:f>'City_Churn_Analysis'!$B$1</c:f>
              <c:strCache>
                <c:ptCount val="1"/>
                <c:pt idx="0">
                  <c:v>total_churned</c:v>
                </c:pt>
              </c:strCache>
            </c:strRef>
          </c:tx>
          <c:invertIfNegative val="0"/>
          <c:dPt>
            <c:idx val="0"/>
            <c:invertIfNegative val="0"/>
            <c:bubble3D val="0"/>
            <c:spPr>
              <a:solidFill>
                <a:srgbClr val="FFE5CC"/>
              </a:solidFill>
              <a:ln>
                <a:noFill/>
              </a:ln>
              <a:effectLst/>
            </c:spPr>
            <c:extLst>
              <c:ext xmlns:c16="http://schemas.microsoft.com/office/drawing/2014/chart" uri="{C3380CC4-5D6E-409C-BE32-E72D297353CC}">
                <c16:uniqueId val="{00000001-DC4A-45A3-ACF0-F99EF3B68389}"/>
              </c:ext>
            </c:extLst>
          </c:dPt>
          <c:dPt>
            <c:idx val="1"/>
            <c:invertIfNegative val="0"/>
            <c:bubble3D val="0"/>
            <c:spPr>
              <a:solidFill>
                <a:srgbClr val="FFCC99"/>
              </a:solidFill>
              <a:ln>
                <a:noFill/>
              </a:ln>
              <a:effectLst/>
            </c:spPr>
            <c:extLst>
              <c:ext xmlns:c16="http://schemas.microsoft.com/office/drawing/2014/chart" uri="{C3380CC4-5D6E-409C-BE32-E72D297353CC}">
                <c16:uniqueId val="{00000003-DC4A-45A3-ACF0-F99EF3B68389}"/>
              </c:ext>
            </c:extLst>
          </c:dPt>
          <c:dPt>
            <c:idx val="2"/>
            <c:invertIfNegative val="0"/>
            <c:bubble3D val="0"/>
            <c:spPr>
              <a:solidFill>
                <a:srgbClr val="FFB373"/>
              </a:solidFill>
              <a:ln>
                <a:noFill/>
              </a:ln>
              <a:effectLst/>
            </c:spPr>
            <c:extLst>
              <c:ext xmlns:c16="http://schemas.microsoft.com/office/drawing/2014/chart" uri="{C3380CC4-5D6E-409C-BE32-E72D297353CC}">
                <c16:uniqueId val="{00000005-DC4A-45A3-ACF0-F99EF3B68389}"/>
              </c:ext>
            </c:extLst>
          </c:dPt>
          <c:dPt>
            <c:idx val="3"/>
            <c:invertIfNegative val="0"/>
            <c:bubble3D val="0"/>
            <c:spPr>
              <a:solidFill>
                <a:srgbClr val="FF9A4D"/>
              </a:solidFill>
              <a:ln>
                <a:noFill/>
              </a:ln>
              <a:effectLst/>
            </c:spPr>
            <c:extLst>
              <c:ext xmlns:c16="http://schemas.microsoft.com/office/drawing/2014/chart" uri="{C3380CC4-5D6E-409C-BE32-E72D297353CC}">
                <c16:uniqueId val="{00000007-DC4A-45A3-ACF0-F99EF3B68389}"/>
              </c:ext>
            </c:extLst>
          </c:dPt>
          <c:dPt>
            <c:idx val="4"/>
            <c:invertIfNegative val="0"/>
            <c:bubble3D val="0"/>
            <c:spPr>
              <a:solidFill>
                <a:srgbClr val="FF8126"/>
              </a:solidFill>
              <a:ln>
                <a:noFill/>
              </a:ln>
              <a:effectLst/>
            </c:spPr>
            <c:extLst>
              <c:ext xmlns:c16="http://schemas.microsoft.com/office/drawing/2014/chart" uri="{C3380CC4-5D6E-409C-BE32-E72D297353CC}">
                <c16:uniqueId val="{00000009-DC4A-45A3-ACF0-F99EF3B68389}"/>
              </c:ext>
            </c:extLst>
          </c:dPt>
          <c:dPt>
            <c:idx val="5"/>
            <c:invertIfNegative val="0"/>
            <c:bubble3D val="0"/>
            <c:spPr>
              <a:solidFill>
                <a:srgbClr val="FF6A00"/>
              </a:solidFill>
              <a:ln>
                <a:noFill/>
              </a:ln>
              <a:effectLst/>
            </c:spPr>
            <c:extLst>
              <c:ext xmlns:c16="http://schemas.microsoft.com/office/drawing/2014/chart" uri="{C3380CC4-5D6E-409C-BE32-E72D297353CC}">
                <c16:uniqueId val="{0000000B-DC4A-45A3-ACF0-F99EF3B68389}"/>
              </c:ext>
            </c:extLst>
          </c:dPt>
          <c:dPt>
            <c:idx val="6"/>
            <c:invertIfNegative val="0"/>
            <c:bubble3D val="0"/>
            <c:spPr>
              <a:solidFill>
                <a:srgbClr val="E65A00"/>
              </a:solidFill>
              <a:ln>
                <a:noFill/>
              </a:ln>
              <a:effectLst/>
            </c:spPr>
            <c:extLst>
              <c:ext xmlns:c16="http://schemas.microsoft.com/office/drawing/2014/chart" uri="{C3380CC4-5D6E-409C-BE32-E72D297353CC}">
                <c16:uniqueId val="{0000000D-DC4A-45A3-ACF0-F99EF3B68389}"/>
              </c:ext>
            </c:extLst>
          </c:dPt>
          <c:dPt>
            <c:idx val="7"/>
            <c:invertIfNegative val="0"/>
            <c:bubble3D val="0"/>
            <c:spPr>
              <a:solidFill>
                <a:srgbClr val="C24A00"/>
              </a:solidFill>
              <a:ln>
                <a:noFill/>
              </a:ln>
              <a:effectLst/>
            </c:spPr>
            <c:extLst>
              <c:ext xmlns:c16="http://schemas.microsoft.com/office/drawing/2014/chart" uri="{C3380CC4-5D6E-409C-BE32-E72D297353CC}">
                <c16:uniqueId val="{0000000F-DC4A-45A3-ACF0-F99EF3B68389}"/>
              </c:ext>
            </c:extLst>
          </c:dPt>
          <c:dPt>
            <c:idx val="8"/>
            <c:invertIfNegative val="0"/>
            <c:bubble3D val="0"/>
            <c:spPr>
              <a:solidFill>
                <a:srgbClr val="9C3B00"/>
              </a:solidFill>
              <a:ln>
                <a:noFill/>
              </a:ln>
              <a:effectLst/>
            </c:spPr>
            <c:extLst>
              <c:ext xmlns:c16="http://schemas.microsoft.com/office/drawing/2014/chart" uri="{C3380CC4-5D6E-409C-BE32-E72D297353CC}">
                <c16:uniqueId val="{00000011-DC4A-45A3-ACF0-F99EF3B68389}"/>
              </c:ext>
            </c:extLst>
          </c:dPt>
          <c:dPt>
            <c:idx val="9"/>
            <c:invertIfNegative val="0"/>
            <c:bubble3D val="0"/>
            <c:spPr>
              <a:solidFill>
                <a:srgbClr val="7A2E00"/>
              </a:solidFill>
              <a:ln>
                <a:noFill/>
              </a:ln>
              <a:effectLst/>
            </c:spPr>
            <c:extLst>
              <c:ext xmlns:c16="http://schemas.microsoft.com/office/drawing/2014/chart" uri="{C3380CC4-5D6E-409C-BE32-E72D297353CC}">
                <c16:uniqueId val="{00000013-DC4A-45A3-ACF0-F99EF3B68389}"/>
              </c:ext>
            </c:extLst>
          </c:dPt>
          <c:dLbls>
            <c:dLbl>
              <c:idx val="0"/>
              <c:tx>
                <c:rich>
                  <a:bodyPr/>
                  <a:lstStyle/>
                  <a:p>
                    <a:fld id="{7C31FFCF-A10F-4C30-8FC5-4DDB58B56E0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DC4A-45A3-ACF0-F99EF3B68389}"/>
                </c:ext>
              </c:extLst>
            </c:dLbl>
            <c:dLbl>
              <c:idx val="1"/>
              <c:tx>
                <c:rich>
                  <a:bodyPr/>
                  <a:lstStyle/>
                  <a:p>
                    <a:fld id="{E645BD94-B4E3-4CE4-A957-14B3E906C23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DC4A-45A3-ACF0-F99EF3B68389}"/>
                </c:ext>
              </c:extLst>
            </c:dLbl>
            <c:dLbl>
              <c:idx val="2"/>
              <c:tx>
                <c:rich>
                  <a:bodyPr/>
                  <a:lstStyle/>
                  <a:p>
                    <a:fld id="{C457CA24-2C92-456E-A265-DB60B2C5027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DC4A-45A3-ACF0-F99EF3B68389}"/>
                </c:ext>
              </c:extLst>
            </c:dLbl>
            <c:dLbl>
              <c:idx val="3"/>
              <c:tx>
                <c:rich>
                  <a:bodyPr/>
                  <a:lstStyle/>
                  <a:p>
                    <a:fld id="{5F6B45C2-DB1E-456C-A2A2-CC268D6D723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DC4A-45A3-ACF0-F99EF3B68389}"/>
                </c:ext>
              </c:extLst>
            </c:dLbl>
            <c:dLbl>
              <c:idx val="4"/>
              <c:tx>
                <c:rich>
                  <a:bodyPr/>
                  <a:lstStyle/>
                  <a:p>
                    <a:fld id="{5A3ECD80-8345-463D-ABF3-3E5AC6AE34F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DC4A-45A3-ACF0-F99EF3B68389}"/>
                </c:ext>
              </c:extLst>
            </c:dLbl>
            <c:dLbl>
              <c:idx val="5"/>
              <c:tx>
                <c:rich>
                  <a:bodyPr/>
                  <a:lstStyle/>
                  <a:p>
                    <a:fld id="{608762B2-7A77-48C3-8A5C-0E818B5E155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DC4A-45A3-ACF0-F99EF3B68389}"/>
                </c:ext>
              </c:extLst>
            </c:dLbl>
            <c:dLbl>
              <c:idx val="6"/>
              <c:tx>
                <c:rich>
                  <a:bodyPr/>
                  <a:lstStyle/>
                  <a:p>
                    <a:fld id="{BF3B9E9E-ABBA-4FE2-A222-2DA82ED105F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DC4A-45A3-ACF0-F99EF3B68389}"/>
                </c:ext>
              </c:extLst>
            </c:dLbl>
            <c:dLbl>
              <c:idx val="7"/>
              <c:tx>
                <c:rich>
                  <a:bodyPr/>
                  <a:lstStyle/>
                  <a:p>
                    <a:fld id="{FF9DFF03-20B5-4EC1-A1D7-8C00B9D1380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DC4A-45A3-ACF0-F99EF3B68389}"/>
                </c:ext>
              </c:extLst>
            </c:dLbl>
            <c:dLbl>
              <c:idx val="8"/>
              <c:tx>
                <c:rich>
                  <a:bodyPr/>
                  <a:lstStyle/>
                  <a:p>
                    <a:fld id="{2945A968-EB78-439F-9ADF-123E3763950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DC4A-45A3-ACF0-F99EF3B68389}"/>
                </c:ext>
              </c:extLst>
            </c:dLbl>
            <c:dLbl>
              <c:idx val="9"/>
              <c:tx>
                <c:rich>
                  <a:bodyPr/>
                  <a:lstStyle/>
                  <a:p>
                    <a:fld id="{DDD9B5B9-04D3-46DC-88BF-3EACADD4BFB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DC4A-45A3-ACF0-F99EF3B6838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DataLabelsRange val="1"/>
                <c15:showLeaderLines val="0"/>
              </c:ext>
            </c:extLst>
          </c:dLbls>
          <c:cat>
            <c:strRef>
              <c:f>'City_Churn_Analysis'!$A$2:$A$11</c:f>
              <c:strCache>
                <c:ptCount val="10"/>
                <c:pt idx="0">
                  <c:v>Glendale</c:v>
                </c:pt>
                <c:pt idx="1">
                  <c:v>Long Beach</c:v>
                </c:pt>
                <c:pt idx="2">
                  <c:v>Escondido</c:v>
                </c:pt>
                <c:pt idx="3">
                  <c:v>Temecula</c:v>
                </c:pt>
                <c:pt idx="4">
                  <c:v>Fallbrook</c:v>
                </c:pt>
                <c:pt idx="5">
                  <c:v>Sacramento</c:v>
                </c:pt>
                <c:pt idx="6">
                  <c:v>San Jose</c:v>
                </c:pt>
                <c:pt idx="7">
                  <c:v>San Francisco</c:v>
                </c:pt>
                <c:pt idx="8">
                  <c:v>Los Angeles</c:v>
                </c:pt>
                <c:pt idx="9">
                  <c:v>San Diego</c:v>
                </c:pt>
              </c:strCache>
            </c:strRef>
          </c:cat>
          <c:val>
            <c:numRef>
              <c:f>'City_Churn_Analysis'!$B$2:$B$11</c:f>
              <c:numCache>
                <c:formatCode>General</c:formatCode>
                <c:ptCount val="10"/>
                <c:pt idx="0">
                  <c:v>13</c:v>
                </c:pt>
                <c:pt idx="1">
                  <c:v>15</c:v>
                </c:pt>
                <c:pt idx="2">
                  <c:v>16</c:v>
                </c:pt>
                <c:pt idx="3">
                  <c:v>22</c:v>
                </c:pt>
                <c:pt idx="4">
                  <c:v>26</c:v>
                </c:pt>
                <c:pt idx="5">
                  <c:v>26</c:v>
                </c:pt>
                <c:pt idx="6">
                  <c:v>29</c:v>
                </c:pt>
                <c:pt idx="7">
                  <c:v>31</c:v>
                </c:pt>
                <c:pt idx="8">
                  <c:v>78</c:v>
                </c:pt>
                <c:pt idx="9">
                  <c:v>185</c:v>
                </c:pt>
              </c:numCache>
            </c:numRef>
          </c:val>
          <c:extLst>
            <c:ext xmlns:c15="http://schemas.microsoft.com/office/drawing/2012/chart" uri="{02D57815-91ED-43cb-92C2-25804820EDAC}">
              <c15:datalabelsRange>
                <c15:f>'City_Churn_Analysis'!$F$2:$F$11</c15:f>
                <c15:dlblRangeCache>
                  <c:ptCount val="10"/>
                  <c:pt idx="0">
                    <c:v>Attitude of support person (30.8%)</c:v>
                  </c:pt>
                  <c:pt idx="1">
                    <c:v>Moved (20%)</c:v>
                  </c:pt>
                  <c:pt idx="2">
                    <c:v>Competitor made better offer (87.5%)</c:v>
                  </c:pt>
                  <c:pt idx="3">
                    <c:v>Competitor made better offer (77.3%)</c:v>
                  </c:pt>
                  <c:pt idx="4">
                    <c:v>Competitor made better offer (88.5%)</c:v>
                  </c:pt>
                  <c:pt idx="5">
                    <c:v>Competitor had better devices (23.1%)</c:v>
                  </c:pt>
                  <c:pt idx="6">
                    <c:v>Competitor had better devices (24.1%)</c:v>
                  </c:pt>
                  <c:pt idx="7">
                    <c:v>Competitor had better devices (19.4%)</c:v>
                  </c:pt>
                  <c:pt idx="8">
                    <c:v>Competitor had better devices (19.2%)</c:v>
                  </c:pt>
                  <c:pt idx="9">
                    <c:v>Competitor made better offer (78.9%)</c:v>
                  </c:pt>
                </c15:dlblRangeCache>
              </c15:datalabelsRange>
            </c:ext>
            <c:ext xmlns:c16="http://schemas.microsoft.com/office/drawing/2014/chart" uri="{C3380CC4-5D6E-409C-BE32-E72D297353CC}">
              <c16:uniqueId val="{00000014-DC4A-45A3-ACF0-F99EF3B68389}"/>
            </c:ext>
          </c:extLst>
        </c:ser>
        <c:dLbls>
          <c:showLegendKey val="0"/>
          <c:showVal val="0"/>
          <c:showCatName val="0"/>
          <c:showSerName val="0"/>
          <c:showPercent val="0"/>
          <c:showBubbleSize val="0"/>
        </c:dLbls>
        <c:gapWidth val="182"/>
        <c:axId val="576328175"/>
        <c:axId val="576330095"/>
      </c:barChart>
      <c:catAx>
        <c:axId val="576328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330095"/>
        <c:crosses val="autoZero"/>
        <c:auto val="1"/>
        <c:lblAlgn val="ctr"/>
        <c:lblOffset val="100"/>
        <c:noMultiLvlLbl val="0"/>
      </c:catAx>
      <c:valAx>
        <c:axId val="5763300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Churned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32817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Report.xlsx]Phone_Internet_Churn_Analysis !PivotTable71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Retention vs Churn Rate By</a:t>
            </a:r>
            <a:r>
              <a:rPr lang="en-US" b="1" baseline="0">
                <a:latin typeface="Times New Roman" panose="02020603050405020304" pitchFamily="18" charset="0"/>
                <a:cs typeface="Times New Roman" panose="02020603050405020304" pitchFamily="18" charset="0"/>
              </a:rPr>
              <a:t> Service Type</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'Phone_Internet_Churn_Analysis '!$B$23</c:f>
              <c:strCache>
                <c:ptCount val="1"/>
                <c:pt idx="0">
                  <c:v> Retention Rate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'Phone_Internet_Churn_Analysis '!$A$24:$A$28</c:f>
              <c:strCache>
                <c:ptCount val="5"/>
                <c:pt idx="0">
                  <c:v>DSL Internet</c:v>
                </c:pt>
                <c:pt idx="1">
                  <c:v>Cable Internet</c:v>
                </c:pt>
                <c:pt idx="2">
                  <c:v>Single Phone Line</c:v>
                </c:pt>
                <c:pt idx="3">
                  <c:v>Muliple Phone Line</c:v>
                </c:pt>
                <c:pt idx="4">
                  <c:v>Fiber Optic Internet</c:v>
                </c:pt>
              </c:strCache>
            </c:strRef>
          </c:cat>
          <c:val>
            <c:numRef>
              <c:f>'Phone_Internet_Churn_Analysis '!$B$24:$B$28</c:f>
              <c:numCache>
                <c:formatCode>0.00%</c:formatCode>
                <c:ptCount val="5"/>
                <c:pt idx="0">
                  <c:v>0.8002602472348731</c:v>
                </c:pt>
                <c:pt idx="1">
                  <c:v>0.72480620155038755</c:v>
                </c:pt>
                <c:pt idx="2">
                  <c:v>0.71878105332891684</c:v>
                </c:pt>
                <c:pt idx="3">
                  <c:v>0.70950102529049897</c:v>
                </c:pt>
                <c:pt idx="4">
                  <c:v>0.57873210633946826</c:v>
                </c:pt>
              </c:numCache>
            </c:numRef>
          </c:val>
          <c:extLst>
            <c:ext xmlns:c16="http://schemas.microsoft.com/office/drawing/2014/chart" uri="{C3380CC4-5D6E-409C-BE32-E72D297353CC}">
              <c16:uniqueId val="{00000000-9D61-4029-97C7-5EFE7B2456F0}"/>
            </c:ext>
          </c:extLst>
        </c:ser>
        <c:ser>
          <c:idx val="1"/>
          <c:order val="1"/>
          <c:tx>
            <c:strRef>
              <c:f>'Phone_Internet_Churn_Analysis '!$C$23</c:f>
              <c:strCache>
                <c:ptCount val="1"/>
                <c:pt idx="0">
                  <c:v> Churn Rate</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'Phone_Internet_Churn_Analysis '!$A$24:$A$28</c:f>
              <c:strCache>
                <c:ptCount val="5"/>
                <c:pt idx="0">
                  <c:v>DSL Internet</c:v>
                </c:pt>
                <c:pt idx="1">
                  <c:v>Cable Internet</c:v>
                </c:pt>
                <c:pt idx="2">
                  <c:v>Single Phone Line</c:v>
                </c:pt>
                <c:pt idx="3">
                  <c:v>Muliple Phone Line</c:v>
                </c:pt>
                <c:pt idx="4">
                  <c:v>Fiber Optic Internet</c:v>
                </c:pt>
              </c:strCache>
            </c:strRef>
          </c:cat>
          <c:val>
            <c:numRef>
              <c:f>'Phone_Internet_Churn_Analysis '!$C$24:$C$28</c:f>
              <c:numCache>
                <c:formatCode>0.00%</c:formatCode>
                <c:ptCount val="5"/>
                <c:pt idx="0">
                  <c:v>0.19973975276512687</c:v>
                </c:pt>
                <c:pt idx="1">
                  <c:v>0.27519379844961239</c:v>
                </c:pt>
                <c:pt idx="2">
                  <c:v>0.28121894667108316</c:v>
                </c:pt>
                <c:pt idx="3">
                  <c:v>0.29049897470950103</c:v>
                </c:pt>
                <c:pt idx="4">
                  <c:v>0.42126789366053169</c:v>
                </c:pt>
              </c:numCache>
            </c:numRef>
          </c:val>
          <c:extLst>
            <c:ext xmlns:c16="http://schemas.microsoft.com/office/drawing/2014/chart" uri="{C3380CC4-5D6E-409C-BE32-E72D297353CC}">
              <c16:uniqueId val="{00000001-9D61-4029-97C7-5EFE7B2456F0}"/>
            </c:ext>
          </c:extLst>
        </c:ser>
        <c:dLbls>
          <c:dLblPos val="ctr"/>
          <c:showLegendKey val="0"/>
          <c:showVal val="1"/>
          <c:showCatName val="0"/>
          <c:showSerName val="0"/>
          <c:showPercent val="0"/>
          <c:showBubbleSize val="0"/>
        </c:dLbls>
        <c:gapWidth val="150"/>
        <c:overlap val="100"/>
        <c:axId val="152598767"/>
        <c:axId val="152600207"/>
      </c:barChart>
      <c:catAx>
        <c:axId val="1525987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Service Type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00207"/>
        <c:crosses val="autoZero"/>
        <c:auto val="1"/>
        <c:lblAlgn val="ctr"/>
        <c:lblOffset val="100"/>
        <c:noMultiLvlLbl val="0"/>
      </c:catAx>
      <c:valAx>
        <c:axId val="1526002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9876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Report.xlsx]Contract_Tenure_Churn_Analysis!PivotTable75</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Times New Roman" panose="02020603050405020304" pitchFamily="18" charset="0"/>
                <a:cs typeface="Times New Roman" panose="02020603050405020304" pitchFamily="18" charset="0"/>
              </a:rPr>
              <a:t>Retention vs Churn Count By Tenure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C00000"/>
            </a:solidFill>
            <a:round/>
          </a:ln>
          <a:effectLst/>
        </c:spPr>
        <c:marker>
          <c:symbol val="circle"/>
          <c:size val="5"/>
          <c:spPr>
            <a:solidFill>
              <a:srgbClr val="C0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'Contract_Tenure_Churn_Analysis'!$B$20</c:f>
              <c:strCache>
                <c:ptCount val="1"/>
                <c:pt idx="0">
                  <c:v>Total Retained</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'Contract_Tenure_Churn_Analysis'!$A$21:$A$26</c:f>
              <c:strCache>
                <c:ptCount val="5"/>
                <c:pt idx="0">
                  <c:v>0-12 months</c:v>
                </c:pt>
                <c:pt idx="1">
                  <c:v>13-24 months</c:v>
                </c:pt>
                <c:pt idx="2">
                  <c:v>25-36 months</c:v>
                </c:pt>
                <c:pt idx="3">
                  <c:v>37-48 months</c:v>
                </c:pt>
                <c:pt idx="4">
                  <c:v>49+ months</c:v>
                </c:pt>
              </c:strCache>
            </c:strRef>
          </c:cat>
          <c:val>
            <c:numRef>
              <c:f>'Contract_Tenure_Churn_Analysis'!$B$21:$B$26</c:f>
              <c:numCache>
                <c:formatCode>General</c:formatCode>
                <c:ptCount val="5"/>
                <c:pt idx="0">
                  <c:v>695</c:v>
                </c:pt>
                <c:pt idx="1">
                  <c:v>730</c:v>
                </c:pt>
                <c:pt idx="2">
                  <c:v>652</c:v>
                </c:pt>
                <c:pt idx="3">
                  <c:v>617</c:v>
                </c:pt>
                <c:pt idx="4">
                  <c:v>2026</c:v>
                </c:pt>
              </c:numCache>
            </c:numRef>
          </c:val>
          <c:smooth val="0"/>
          <c:extLst>
            <c:ext xmlns:c16="http://schemas.microsoft.com/office/drawing/2014/chart" uri="{C3380CC4-5D6E-409C-BE32-E72D297353CC}">
              <c16:uniqueId val="{00000000-2C92-474C-BF50-9737DEF6D4EC}"/>
            </c:ext>
          </c:extLst>
        </c:ser>
        <c:ser>
          <c:idx val="1"/>
          <c:order val="1"/>
          <c:tx>
            <c:strRef>
              <c:f>'Contract_Tenure_Churn_Analysis'!$C$20</c:f>
              <c:strCache>
                <c:ptCount val="1"/>
                <c:pt idx="0">
                  <c:v>Total Churned</c:v>
                </c:pt>
              </c:strCache>
            </c:strRef>
          </c:tx>
          <c:spPr>
            <a:ln w="28575" cap="rnd">
              <a:solidFill>
                <a:srgbClr val="C00000"/>
              </a:solidFill>
              <a:round/>
            </a:ln>
            <a:effectLst/>
          </c:spPr>
          <c:marker>
            <c:symbol val="circle"/>
            <c:size val="5"/>
            <c:spPr>
              <a:solidFill>
                <a:srgbClr val="C00000"/>
              </a:solidFill>
              <a:ln w="9525">
                <a:solidFill>
                  <a:schemeClr val="accent2"/>
                </a:solidFill>
              </a:ln>
              <a:effectLst/>
            </c:spPr>
          </c:marker>
          <c:cat>
            <c:strRef>
              <c:f>'Contract_Tenure_Churn_Analysis'!$A$21:$A$26</c:f>
              <c:strCache>
                <c:ptCount val="5"/>
                <c:pt idx="0">
                  <c:v>0-12 months</c:v>
                </c:pt>
                <c:pt idx="1">
                  <c:v>13-24 months</c:v>
                </c:pt>
                <c:pt idx="2">
                  <c:v>25-36 months</c:v>
                </c:pt>
                <c:pt idx="3">
                  <c:v>37-48 months</c:v>
                </c:pt>
                <c:pt idx="4">
                  <c:v>49+ months</c:v>
                </c:pt>
              </c:strCache>
            </c:strRef>
          </c:cat>
          <c:val>
            <c:numRef>
              <c:f>'Contract_Tenure_Churn_Analysis'!$C$21:$C$26</c:f>
              <c:numCache>
                <c:formatCode>General</c:formatCode>
                <c:ptCount val="5"/>
                <c:pt idx="0">
                  <c:v>1037</c:v>
                </c:pt>
                <c:pt idx="1">
                  <c:v>294</c:v>
                </c:pt>
                <c:pt idx="2">
                  <c:v>180</c:v>
                </c:pt>
                <c:pt idx="3">
                  <c:v>145</c:v>
                </c:pt>
                <c:pt idx="4">
                  <c:v>213</c:v>
                </c:pt>
              </c:numCache>
            </c:numRef>
          </c:val>
          <c:smooth val="0"/>
          <c:extLst>
            <c:ext xmlns:c16="http://schemas.microsoft.com/office/drawing/2014/chart" uri="{C3380CC4-5D6E-409C-BE32-E72D297353CC}">
              <c16:uniqueId val="{00000001-2C92-474C-BF50-9737DEF6D4EC}"/>
            </c:ext>
          </c:extLst>
        </c:ser>
        <c:dLbls>
          <c:showLegendKey val="0"/>
          <c:showVal val="0"/>
          <c:showCatName val="0"/>
          <c:showSerName val="0"/>
          <c:showPercent val="0"/>
          <c:showBubbleSize val="0"/>
        </c:dLbls>
        <c:marker val="1"/>
        <c:smooth val="0"/>
        <c:axId val="1941320800"/>
        <c:axId val="1941322240"/>
      </c:lineChart>
      <c:catAx>
        <c:axId val="19413208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Tenure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322240"/>
        <c:crosses val="autoZero"/>
        <c:auto val="1"/>
        <c:lblAlgn val="ctr"/>
        <c:lblOffset val="100"/>
        <c:noMultiLvlLbl val="0"/>
      </c:catAx>
      <c:valAx>
        <c:axId val="19413222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320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Report.xlsx]Offer_Churn_Analysis!PivotTable73</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Times New Roman" panose="02020603050405020304" pitchFamily="18" charset="0"/>
                <a:cs typeface="Times New Roman" panose="02020603050405020304" pitchFamily="18" charset="0"/>
              </a:rPr>
              <a:t>Retention vs Churn Rate By Offer Type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Offer_Churn_Analysis!$B$11</c:f>
              <c:strCache>
                <c:ptCount val="1"/>
                <c:pt idx="0">
                  <c:v>Retention Rate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Offer_Churn_Analysis!$A$12:$A$17</c:f>
              <c:strCache>
                <c:ptCount val="6"/>
                <c:pt idx="0">
                  <c:v>Offer A</c:v>
                </c:pt>
                <c:pt idx="1">
                  <c:v>Offer B</c:v>
                </c:pt>
                <c:pt idx="2">
                  <c:v>Offer C</c:v>
                </c:pt>
                <c:pt idx="3">
                  <c:v>Offer D</c:v>
                </c:pt>
                <c:pt idx="4">
                  <c:v>None</c:v>
                </c:pt>
                <c:pt idx="5">
                  <c:v>Offer E</c:v>
                </c:pt>
              </c:strCache>
            </c:strRef>
          </c:cat>
          <c:val>
            <c:numRef>
              <c:f>Offer_Churn_Analysis!$B$12:$B$17</c:f>
              <c:numCache>
                <c:formatCode>0.00%</c:formatCode>
                <c:ptCount val="6"/>
                <c:pt idx="0">
                  <c:v>0.93269999999999997</c:v>
                </c:pt>
                <c:pt idx="1">
                  <c:v>0.87739999999999996</c:v>
                </c:pt>
                <c:pt idx="2">
                  <c:v>0.77110000000000001</c:v>
                </c:pt>
                <c:pt idx="3">
                  <c:v>0.73260000000000003</c:v>
                </c:pt>
                <c:pt idx="4">
                  <c:v>0.70789999999999997</c:v>
                </c:pt>
                <c:pt idx="5">
                  <c:v>0.32379999999999998</c:v>
                </c:pt>
              </c:numCache>
            </c:numRef>
          </c:val>
          <c:extLst>
            <c:ext xmlns:c16="http://schemas.microsoft.com/office/drawing/2014/chart" uri="{C3380CC4-5D6E-409C-BE32-E72D297353CC}">
              <c16:uniqueId val="{00000000-FA95-470C-88FB-D7E4885F6348}"/>
            </c:ext>
          </c:extLst>
        </c:ser>
        <c:ser>
          <c:idx val="1"/>
          <c:order val="1"/>
          <c:tx>
            <c:strRef>
              <c:f>Offer_Churn_Analysis!$C$11</c:f>
              <c:strCache>
                <c:ptCount val="1"/>
                <c:pt idx="0">
                  <c:v>Churn Rate</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Offer_Churn_Analysis!$A$12:$A$17</c:f>
              <c:strCache>
                <c:ptCount val="6"/>
                <c:pt idx="0">
                  <c:v>Offer A</c:v>
                </c:pt>
                <c:pt idx="1">
                  <c:v>Offer B</c:v>
                </c:pt>
                <c:pt idx="2">
                  <c:v>Offer C</c:v>
                </c:pt>
                <c:pt idx="3">
                  <c:v>Offer D</c:v>
                </c:pt>
                <c:pt idx="4">
                  <c:v>None</c:v>
                </c:pt>
                <c:pt idx="5">
                  <c:v>Offer E</c:v>
                </c:pt>
              </c:strCache>
            </c:strRef>
          </c:cat>
          <c:val>
            <c:numRef>
              <c:f>Offer_Churn_Analysis!$C$12:$C$17</c:f>
              <c:numCache>
                <c:formatCode>0.00%</c:formatCode>
                <c:ptCount val="6"/>
                <c:pt idx="0">
                  <c:v>6.7299999999999999E-2</c:v>
                </c:pt>
                <c:pt idx="1">
                  <c:v>0.1226</c:v>
                </c:pt>
                <c:pt idx="2">
                  <c:v>0.22889999999999999</c:v>
                </c:pt>
                <c:pt idx="3">
                  <c:v>0.26740000000000003</c:v>
                </c:pt>
                <c:pt idx="4">
                  <c:v>0.29210000000000003</c:v>
                </c:pt>
                <c:pt idx="5">
                  <c:v>0.67620000000000002</c:v>
                </c:pt>
              </c:numCache>
            </c:numRef>
          </c:val>
          <c:extLst>
            <c:ext xmlns:c16="http://schemas.microsoft.com/office/drawing/2014/chart" uri="{C3380CC4-5D6E-409C-BE32-E72D297353CC}">
              <c16:uniqueId val="{00000001-FA95-470C-88FB-D7E4885F6348}"/>
            </c:ext>
          </c:extLst>
        </c:ser>
        <c:dLbls>
          <c:dLblPos val="ctr"/>
          <c:showLegendKey val="0"/>
          <c:showVal val="1"/>
          <c:showCatName val="0"/>
          <c:showSerName val="0"/>
          <c:showPercent val="0"/>
          <c:showBubbleSize val="0"/>
        </c:dLbls>
        <c:gapWidth val="150"/>
        <c:overlap val="100"/>
        <c:axId val="202202575"/>
        <c:axId val="202204495"/>
      </c:barChart>
      <c:catAx>
        <c:axId val="2022025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Offer Type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04495"/>
        <c:crosses val="autoZero"/>
        <c:auto val="1"/>
        <c:lblAlgn val="ctr"/>
        <c:lblOffset val="100"/>
        <c:noMultiLvlLbl val="0"/>
      </c:catAx>
      <c:valAx>
        <c:axId val="20220449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0257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hyperlink" Target="https://github.com/Anindo80/Telco-Churn-and-Retention-Analysis/blob/main/Logistic%20Regression%20Model/logistic_regression_model.ipynb" TargetMode="External"/></Relationships>
</file>

<file path=xl/drawings/drawing1.xml><?xml version="1.0" encoding="utf-8"?>
<xdr:wsDr xmlns:xdr="http://schemas.openxmlformats.org/drawingml/2006/spreadsheetDrawing" xmlns:a="http://schemas.openxmlformats.org/drawingml/2006/main">
  <xdr:twoCellAnchor>
    <xdr:from>
      <xdr:col>2</xdr:col>
      <xdr:colOff>323850</xdr:colOff>
      <xdr:row>6</xdr:row>
      <xdr:rowOff>114300</xdr:rowOff>
    </xdr:from>
    <xdr:to>
      <xdr:col>15</xdr:col>
      <xdr:colOff>247650</xdr:colOff>
      <xdr:row>24</xdr:row>
      <xdr:rowOff>95250</xdr:rowOff>
    </xdr:to>
    <xdr:grpSp>
      <xdr:nvGrpSpPr>
        <xdr:cNvPr id="5" name="Group 4">
          <a:extLst>
            <a:ext uri="{FF2B5EF4-FFF2-40B4-BE49-F238E27FC236}">
              <a16:creationId xmlns:a16="http://schemas.microsoft.com/office/drawing/2014/main" id="{47960C4E-5CA2-004C-102C-BB7D69B2293E}"/>
            </a:ext>
          </a:extLst>
        </xdr:cNvPr>
        <xdr:cNvGrpSpPr/>
      </xdr:nvGrpSpPr>
      <xdr:grpSpPr>
        <a:xfrm>
          <a:off x="1543050" y="495300"/>
          <a:ext cx="7848600" cy="3409950"/>
          <a:chOff x="1543050" y="495300"/>
          <a:chExt cx="7848600" cy="3409950"/>
        </a:xfrm>
      </xdr:grpSpPr>
      <xdr:sp macro="" textlink="">
        <xdr:nvSpPr>
          <xdr:cNvPr id="2" name="Rectangle: Rounded Corners 1">
            <a:extLst>
              <a:ext uri="{FF2B5EF4-FFF2-40B4-BE49-F238E27FC236}">
                <a16:creationId xmlns:a16="http://schemas.microsoft.com/office/drawing/2014/main" id="{DE4080F5-542B-3D0C-0A23-C9A68ECE985F}"/>
              </a:ext>
            </a:extLst>
          </xdr:cNvPr>
          <xdr:cNvSpPr/>
        </xdr:nvSpPr>
        <xdr:spPr>
          <a:xfrm>
            <a:off x="1543050" y="495300"/>
            <a:ext cx="7839075" cy="3295650"/>
          </a:xfrm>
          <a:prstGeom prst="round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tx1"/>
                </a:solidFill>
                <a:latin typeface="Times New Roman" panose="02020603050405020304" pitchFamily="18" charset="0"/>
                <a:cs typeface="Times New Roman" panose="02020603050405020304" pitchFamily="18" charset="0"/>
              </a:rPr>
              <a:t>Purpose</a:t>
            </a:r>
            <a:r>
              <a:rPr lang="en-US" sz="2000" b="1" baseline="0">
                <a:solidFill>
                  <a:schemeClr val="tx1"/>
                </a:solidFill>
                <a:latin typeface="Times New Roman" panose="02020603050405020304" pitchFamily="18" charset="0"/>
                <a:cs typeface="Times New Roman" panose="02020603050405020304" pitchFamily="18" charset="0"/>
              </a:rPr>
              <a:t> &amp; Description</a:t>
            </a:r>
            <a:endParaRPr lang="en-US" sz="2000" b="1">
              <a:solidFill>
                <a:schemeClr val="tx1"/>
              </a:solidFill>
              <a:latin typeface="Times New Roman" panose="02020603050405020304" pitchFamily="18" charset="0"/>
              <a:cs typeface="Times New Roman" panose="02020603050405020304" pitchFamily="18" charset="0"/>
            </a:endParaRPr>
          </a:p>
        </xdr:txBody>
      </xdr:sp>
      <xdr:sp macro="" textlink="">
        <xdr:nvSpPr>
          <xdr:cNvPr id="3" name="Rectangle: Rounded Corners 2">
            <a:extLst>
              <a:ext uri="{FF2B5EF4-FFF2-40B4-BE49-F238E27FC236}">
                <a16:creationId xmlns:a16="http://schemas.microsoft.com/office/drawing/2014/main" id="{321C9C6C-4506-4E9C-B7A5-FA7FAFBFA6A5}"/>
              </a:ext>
            </a:extLst>
          </xdr:cNvPr>
          <xdr:cNvSpPr/>
        </xdr:nvSpPr>
        <xdr:spPr>
          <a:xfrm>
            <a:off x="1543050" y="1152525"/>
            <a:ext cx="7848600" cy="2752725"/>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a:solidFill>
                  <a:schemeClr val="tx1"/>
                </a:solidFill>
                <a:effectLst/>
                <a:latin typeface="Times New Roman" panose="02020603050405020304" pitchFamily="18" charset="0"/>
                <a:ea typeface="+mn-ea"/>
                <a:cs typeface="Times New Roman" panose="02020603050405020304" pitchFamily="18" charset="0"/>
              </a:rPr>
              <a:t>The goal of this project is to analyze why do customers leave the service from a home and internet service provider company in California.</a:t>
            </a:r>
          </a:p>
          <a:p>
            <a:pPr marL="0" marR="0" lvl="0" indent="0" algn="ctr" defTabSz="914400" eaLnBrk="1" fontAlgn="auto" latinLnBrk="0" hangingPunct="1">
              <a:lnSpc>
                <a:spcPct val="100000"/>
              </a:lnSpc>
              <a:spcBef>
                <a:spcPts val="0"/>
              </a:spcBef>
              <a:spcAft>
                <a:spcPts val="0"/>
              </a:spcAft>
              <a:buClrTx/>
              <a:buSzTx/>
              <a:buFontTx/>
              <a:buNone/>
              <a:tabLst/>
              <a:defRPr/>
            </a:pPr>
            <a:endParaRPr lang="en-US" sz="1600">
              <a:solidFill>
                <a:schemeClr val="tx1"/>
              </a:solidFill>
              <a:effectLst/>
              <a:latin typeface="Times New Roman" panose="02020603050405020304" pitchFamily="18" charset="0"/>
              <a:ea typeface="+mn-ea"/>
              <a:cs typeface="Times New Roman" panose="02020603050405020304" pitchFamily="18" charset="0"/>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1600">
                <a:solidFill>
                  <a:schemeClr val="tx1"/>
                </a:solidFill>
                <a:effectLst/>
                <a:latin typeface="Times New Roman" panose="02020603050405020304" pitchFamily="18" charset="0"/>
                <a:ea typeface="+mn-ea"/>
                <a:cs typeface="Times New Roman" panose="02020603050405020304" pitchFamily="18" charset="0"/>
              </a:rPr>
              <a:t> The project will explore the company's Q3 dataset, which contains data for about 7000 customers. After that, it will identify the main reasons for leaving the services and find correlation between churn and factors including customers' location, service types,</a:t>
            </a:r>
            <a:r>
              <a:rPr lang="en-US" sz="1600" baseline="0">
                <a:solidFill>
                  <a:schemeClr val="tx1"/>
                </a:solidFill>
                <a:effectLst/>
                <a:latin typeface="Times New Roman" panose="02020603050405020304" pitchFamily="18" charset="0"/>
                <a:ea typeface="+mn-ea"/>
                <a:cs typeface="Times New Roman" panose="02020603050405020304" pitchFamily="18" charset="0"/>
              </a:rPr>
              <a:t> and stay within the company.</a:t>
            </a:r>
            <a:endParaRPr lang="en-US" sz="1600">
              <a:solidFill>
                <a:schemeClr val="tx1"/>
              </a:solidFill>
              <a:effectLst/>
              <a:latin typeface="Times New Roman" panose="02020603050405020304" pitchFamily="18" charset="0"/>
              <a:ea typeface="+mn-ea"/>
              <a:cs typeface="Times New Roman" panose="02020603050405020304" pitchFamily="18" charset="0"/>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US" sz="1600">
              <a:solidFill>
                <a:schemeClr val="tx1"/>
              </a:solidFill>
              <a:effectLst/>
              <a:latin typeface="Times New Roman" panose="02020603050405020304" pitchFamily="18" charset="0"/>
              <a:ea typeface="+mn-ea"/>
              <a:cs typeface="Times New Roman" panose="02020603050405020304" pitchFamily="18" charset="0"/>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1600">
                <a:solidFill>
                  <a:schemeClr val="tx1"/>
                </a:solidFill>
                <a:effectLst/>
                <a:latin typeface="Times New Roman" panose="02020603050405020304" pitchFamily="18" charset="0"/>
                <a:ea typeface="+mn-ea"/>
                <a:cs typeface="Times New Roman" panose="02020603050405020304" pitchFamily="18" charset="0"/>
              </a:rPr>
              <a:t> The final deliverable will present statistical analysis of the reasons behind leaving as well as retention strategies.</a:t>
            </a:r>
            <a:endParaRPr lang="en-US" sz="1600">
              <a:latin typeface="Times New Roman" panose="02020603050405020304" pitchFamily="18" charset="0"/>
              <a:cs typeface="Times New Roman" panose="02020603050405020304" pitchFamily="18" charset="0"/>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333375</xdr:colOff>
      <xdr:row>6</xdr:row>
      <xdr:rowOff>0</xdr:rowOff>
    </xdr:from>
    <xdr:to>
      <xdr:col>3</xdr:col>
      <xdr:colOff>523875</xdr:colOff>
      <xdr:row>26</xdr:row>
      <xdr:rowOff>28575</xdr:rowOff>
    </xdr:to>
    <xdr:grpSp>
      <xdr:nvGrpSpPr>
        <xdr:cNvPr id="32" name="Group 31">
          <a:extLst>
            <a:ext uri="{FF2B5EF4-FFF2-40B4-BE49-F238E27FC236}">
              <a16:creationId xmlns:a16="http://schemas.microsoft.com/office/drawing/2014/main" id="{D3A6911A-84F9-BDC8-4BBB-044D3379E207}"/>
            </a:ext>
          </a:extLst>
        </xdr:cNvPr>
        <xdr:cNvGrpSpPr/>
      </xdr:nvGrpSpPr>
      <xdr:grpSpPr>
        <a:xfrm>
          <a:off x="333375" y="866775"/>
          <a:ext cx="2019300" cy="3838575"/>
          <a:chOff x="914400" y="1981200"/>
          <a:chExt cx="2019300" cy="3838575"/>
        </a:xfrm>
      </xdr:grpSpPr>
      <xdr:sp macro="" textlink="">
        <xdr:nvSpPr>
          <xdr:cNvPr id="5" name="Rectangle: Rounded Corners 4">
            <a:extLst>
              <a:ext uri="{FF2B5EF4-FFF2-40B4-BE49-F238E27FC236}">
                <a16:creationId xmlns:a16="http://schemas.microsoft.com/office/drawing/2014/main" id="{811A3E26-DF8D-57A1-DECA-C33324CC56E1}"/>
              </a:ext>
            </a:extLst>
          </xdr:cNvPr>
          <xdr:cNvSpPr/>
        </xdr:nvSpPr>
        <xdr:spPr>
          <a:xfrm>
            <a:off x="923925" y="1981200"/>
            <a:ext cx="2007336" cy="2445854"/>
          </a:xfrm>
          <a:prstGeom prst="round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tx1"/>
                </a:solidFill>
                <a:latin typeface="Times New Roman" panose="02020603050405020304" pitchFamily="18" charset="0"/>
                <a:cs typeface="Times New Roman" panose="02020603050405020304" pitchFamily="18" charset="0"/>
              </a:rPr>
              <a:t>1</a:t>
            </a:r>
          </a:p>
        </xdr:txBody>
      </xdr:sp>
      <xdr:sp macro="" textlink="">
        <xdr:nvSpPr>
          <xdr:cNvPr id="6" name="Rectangle: Rounded Corners 5">
            <a:extLst>
              <a:ext uri="{FF2B5EF4-FFF2-40B4-BE49-F238E27FC236}">
                <a16:creationId xmlns:a16="http://schemas.microsoft.com/office/drawing/2014/main" id="{78D4CDF0-450D-10F6-22B2-0A5087B9F814}"/>
              </a:ext>
            </a:extLst>
          </xdr:cNvPr>
          <xdr:cNvSpPr/>
        </xdr:nvSpPr>
        <xdr:spPr>
          <a:xfrm>
            <a:off x="923925" y="2536135"/>
            <a:ext cx="2009775" cy="236924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chemeClr val="tx1"/>
                </a:solidFill>
                <a:effectLst/>
                <a:latin typeface="Times New Roman" panose="02020603050405020304" pitchFamily="18" charset="0"/>
                <a:ea typeface="+mn-ea"/>
                <a:cs typeface="Times New Roman" panose="02020603050405020304" pitchFamily="18" charset="0"/>
              </a:rPr>
              <a:t>Identify top</a:t>
            </a:r>
            <a:r>
              <a:rPr lang="en-US" sz="1600" b="1" baseline="0">
                <a:solidFill>
                  <a:schemeClr val="tx1"/>
                </a:solidFill>
                <a:effectLst/>
                <a:latin typeface="Times New Roman" panose="02020603050405020304" pitchFamily="18" charset="0"/>
                <a:ea typeface="+mn-ea"/>
                <a:cs typeface="Times New Roman" panose="02020603050405020304" pitchFamily="18" charset="0"/>
              </a:rPr>
              <a:t> churn reaosons</a:t>
            </a:r>
            <a:endParaRPr lang="en-US" sz="1600" b="1">
              <a:solidFill>
                <a:schemeClr val="tx1"/>
              </a:solidFill>
              <a:effectLst/>
              <a:latin typeface="Times New Roman" panose="02020603050405020304" pitchFamily="18" charset="0"/>
              <a:cs typeface="Times New Roman" panose="02020603050405020304" pitchFamily="18" charset="0"/>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US" sz="1600" b="1">
              <a:solidFill>
                <a:schemeClr val="tx1"/>
              </a:solidFill>
              <a:latin typeface="Times New Roman" panose="02020603050405020304" pitchFamily="18" charset="0"/>
              <a:cs typeface="Times New Roman" panose="02020603050405020304" pitchFamily="18" charset="0"/>
            </a:endParaRPr>
          </a:p>
        </xdr:txBody>
      </xdr:sp>
      <xdr:sp macro="" textlink="">
        <xdr:nvSpPr>
          <xdr:cNvPr id="30" name="Rectangle: Rounded Corners 29">
            <a:extLst>
              <a:ext uri="{FF2B5EF4-FFF2-40B4-BE49-F238E27FC236}">
                <a16:creationId xmlns:a16="http://schemas.microsoft.com/office/drawing/2014/main" id="{102F72AF-8490-E53E-B50E-BD9305F8417B}"/>
              </a:ext>
            </a:extLst>
          </xdr:cNvPr>
          <xdr:cNvSpPr/>
        </xdr:nvSpPr>
        <xdr:spPr>
          <a:xfrm>
            <a:off x="914400" y="3552825"/>
            <a:ext cx="2000250" cy="2266950"/>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a:solidFill>
                  <a:schemeClr val="tx1"/>
                </a:solidFill>
                <a:effectLst/>
                <a:latin typeface="Times New Roman" panose="02020603050405020304" pitchFamily="18" charset="0"/>
                <a:ea typeface="+mn-ea"/>
                <a:cs typeface="Times New Roman" panose="02020603050405020304" pitchFamily="18" charset="0"/>
              </a:rPr>
              <a:t>Anlyze the primary factors for customer leaving the service</a:t>
            </a:r>
            <a:endParaRPr lang="en-US" sz="1400">
              <a:solidFill>
                <a:schemeClr val="tx1"/>
              </a:solidFill>
              <a:effectLst/>
              <a:latin typeface="Times New Roman" panose="02020603050405020304" pitchFamily="18" charset="0"/>
              <a:cs typeface="Times New Roman" panose="02020603050405020304" pitchFamily="18" charset="0"/>
            </a:endParaRPr>
          </a:p>
          <a:p>
            <a:pPr algn="ctr"/>
            <a:endParaRPr lang="en-US" sz="1400">
              <a:solidFill>
                <a:schemeClr val="tx1"/>
              </a:solidFill>
              <a:latin typeface="Times New Roman" panose="02020603050405020304" pitchFamily="18" charset="0"/>
              <a:cs typeface="Times New Roman" panose="02020603050405020304" pitchFamily="18" charset="0"/>
            </a:endParaRPr>
          </a:p>
        </xdr:txBody>
      </xdr:sp>
    </xdr:grpSp>
    <xdr:clientData/>
  </xdr:twoCellAnchor>
  <xdr:twoCellAnchor>
    <xdr:from>
      <xdr:col>12</xdr:col>
      <xdr:colOff>314325</xdr:colOff>
      <xdr:row>6</xdr:row>
      <xdr:rowOff>95250</xdr:rowOff>
    </xdr:from>
    <xdr:to>
      <xdr:col>15</xdr:col>
      <xdr:colOff>504825</xdr:colOff>
      <xdr:row>26</xdr:row>
      <xdr:rowOff>123825</xdr:rowOff>
    </xdr:to>
    <xdr:grpSp>
      <xdr:nvGrpSpPr>
        <xdr:cNvPr id="33" name="Group 32">
          <a:extLst>
            <a:ext uri="{FF2B5EF4-FFF2-40B4-BE49-F238E27FC236}">
              <a16:creationId xmlns:a16="http://schemas.microsoft.com/office/drawing/2014/main" id="{A1E5EFD3-5F81-496E-9AF5-04AB6DFB2831}"/>
            </a:ext>
          </a:extLst>
        </xdr:cNvPr>
        <xdr:cNvGrpSpPr/>
      </xdr:nvGrpSpPr>
      <xdr:grpSpPr>
        <a:xfrm>
          <a:off x="7629525" y="962025"/>
          <a:ext cx="2019300" cy="3838575"/>
          <a:chOff x="914400" y="1981200"/>
          <a:chExt cx="2019300" cy="3838575"/>
        </a:xfrm>
      </xdr:grpSpPr>
      <xdr:sp macro="" textlink="">
        <xdr:nvSpPr>
          <xdr:cNvPr id="34" name="Rectangle: Rounded Corners 33">
            <a:extLst>
              <a:ext uri="{FF2B5EF4-FFF2-40B4-BE49-F238E27FC236}">
                <a16:creationId xmlns:a16="http://schemas.microsoft.com/office/drawing/2014/main" id="{552F4E57-9580-05D1-950A-73EA6F09BF65}"/>
              </a:ext>
            </a:extLst>
          </xdr:cNvPr>
          <xdr:cNvSpPr/>
        </xdr:nvSpPr>
        <xdr:spPr>
          <a:xfrm>
            <a:off x="923925" y="1981200"/>
            <a:ext cx="2007336" cy="2445854"/>
          </a:xfrm>
          <a:prstGeom prst="round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tx1"/>
                </a:solidFill>
                <a:latin typeface="Times New Roman" panose="02020603050405020304" pitchFamily="18" charset="0"/>
                <a:cs typeface="Times New Roman" panose="02020603050405020304" pitchFamily="18" charset="0"/>
              </a:rPr>
              <a:t>4</a:t>
            </a:r>
          </a:p>
        </xdr:txBody>
      </xdr:sp>
      <xdr:sp macro="" textlink="">
        <xdr:nvSpPr>
          <xdr:cNvPr id="35" name="Rectangle: Rounded Corners 34">
            <a:extLst>
              <a:ext uri="{FF2B5EF4-FFF2-40B4-BE49-F238E27FC236}">
                <a16:creationId xmlns:a16="http://schemas.microsoft.com/office/drawing/2014/main" id="{39D1104C-BAC7-3336-101A-D87AC44FEDA9}"/>
              </a:ext>
            </a:extLst>
          </xdr:cNvPr>
          <xdr:cNvSpPr/>
        </xdr:nvSpPr>
        <xdr:spPr>
          <a:xfrm>
            <a:off x="923925" y="2536135"/>
            <a:ext cx="2009775" cy="236924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effectLst/>
                <a:latin typeface="Times New Roman" panose="02020603050405020304" pitchFamily="18" charset="0"/>
                <a:ea typeface="+mn-ea"/>
                <a:cs typeface="Times New Roman" panose="02020603050405020304" pitchFamily="18" charset="0"/>
              </a:rPr>
              <a:t>Next steps </a:t>
            </a:r>
            <a:endParaRPr lang="en-US" sz="1600" b="1">
              <a:solidFill>
                <a:schemeClr val="tx1"/>
              </a:solidFill>
              <a:effectLst/>
              <a:latin typeface="Times New Roman" panose="02020603050405020304" pitchFamily="18" charset="0"/>
              <a:cs typeface="Times New Roman" panose="02020603050405020304" pitchFamily="18" charset="0"/>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US" sz="1600" b="1">
              <a:solidFill>
                <a:schemeClr val="tx1"/>
              </a:solidFill>
              <a:latin typeface="Times New Roman" panose="02020603050405020304" pitchFamily="18" charset="0"/>
              <a:cs typeface="Times New Roman" panose="02020603050405020304" pitchFamily="18" charset="0"/>
            </a:endParaRPr>
          </a:p>
        </xdr:txBody>
      </xdr:sp>
      <xdr:sp macro="" textlink="">
        <xdr:nvSpPr>
          <xdr:cNvPr id="36" name="Rectangle: Rounded Corners 35">
            <a:extLst>
              <a:ext uri="{FF2B5EF4-FFF2-40B4-BE49-F238E27FC236}">
                <a16:creationId xmlns:a16="http://schemas.microsoft.com/office/drawing/2014/main" id="{21043CD1-4C97-3CDB-970C-BE9D3CC3F9C1}"/>
              </a:ext>
            </a:extLst>
          </xdr:cNvPr>
          <xdr:cNvSpPr/>
        </xdr:nvSpPr>
        <xdr:spPr>
          <a:xfrm>
            <a:off x="914400" y="3552825"/>
            <a:ext cx="2000250" cy="2266950"/>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eaLnBrk="1" fontAlgn="auto" latinLnBrk="0" hangingPunct="1"/>
            <a:r>
              <a:rPr lang="en-US" sz="1400">
                <a:solidFill>
                  <a:schemeClr val="tx1"/>
                </a:solidFill>
                <a:effectLst/>
                <a:latin typeface="Times New Roman" panose="02020603050405020304" pitchFamily="18" charset="0"/>
                <a:ea typeface="+mn-ea"/>
                <a:cs typeface="Times New Roman" panose="02020603050405020304" pitchFamily="18" charset="0"/>
              </a:rPr>
              <a:t>Propose data</a:t>
            </a:r>
            <a:r>
              <a:rPr lang="en-US" sz="1400" baseline="0">
                <a:solidFill>
                  <a:schemeClr val="tx1"/>
                </a:solidFill>
                <a:effectLst/>
                <a:latin typeface="Times New Roman" panose="02020603050405020304" pitchFamily="18" charset="0"/>
                <a:ea typeface="+mn-ea"/>
                <a:cs typeface="Times New Roman" panose="02020603050405020304" pitchFamily="18" charset="0"/>
              </a:rPr>
              <a:t> driven actions to maximize customer retention</a:t>
            </a:r>
            <a:endParaRPr lang="en-US" sz="1400">
              <a:solidFill>
                <a:schemeClr val="tx1"/>
              </a:solidFill>
              <a:effectLst/>
              <a:latin typeface="Times New Roman" panose="02020603050405020304" pitchFamily="18" charset="0"/>
              <a:cs typeface="Times New Roman" panose="02020603050405020304" pitchFamily="18" charset="0"/>
            </a:endParaRPr>
          </a:p>
          <a:p>
            <a:pPr algn="ctr"/>
            <a:endParaRPr lang="en-US" sz="1400">
              <a:solidFill>
                <a:schemeClr val="tx1"/>
              </a:solidFill>
              <a:latin typeface="Times New Roman" panose="02020603050405020304" pitchFamily="18" charset="0"/>
              <a:cs typeface="Times New Roman" panose="02020603050405020304" pitchFamily="18" charset="0"/>
            </a:endParaRPr>
          </a:p>
        </xdr:txBody>
      </xdr:sp>
    </xdr:grpSp>
    <xdr:clientData/>
  </xdr:twoCellAnchor>
  <xdr:twoCellAnchor>
    <xdr:from>
      <xdr:col>8</xdr:col>
      <xdr:colOff>314325</xdr:colOff>
      <xdr:row>6</xdr:row>
      <xdr:rowOff>66675</xdr:rowOff>
    </xdr:from>
    <xdr:to>
      <xdr:col>11</xdr:col>
      <xdr:colOff>504825</xdr:colOff>
      <xdr:row>26</xdr:row>
      <xdr:rowOff>95250</xdr:rowOff>
    </xdr:to>
    <xdr:grpSp>
      <xdr:nvGrpSpPr>
        <xdr:cNvPr id="37" name="Group 36">
          <a:extLst>
            <a:ext uri="{FF2B5EF4-FFF2-40B4-BE49-F238E27FC236}">
              <a16:creationId xmlns:a16="http://schemas.microsoft.com/office/drawing/2014/main" id="{A5DD2C47-4407-4116-9D80-EA2C8E5C25FF}"/>
            </a:ext>
          </a:extLst>
        </xdr:cNvPr>
        <xdr:cNvGrpSpPr/>
      </xdr:nvGrpSpPr>
      <xdr:grpSpPr>
        <a:xfrm>
          <a:off x="5191125" y="933450"/>
          <a:ext cx="2019300" cy="3838575"/>
          <a:chOff x="914400" y="1981200"/>
          <a:chExt cx="2019300" cy="3838575"/>
        </a:xfrm>
      </xdr:grpSpPr>
      <xdr:sp macro="" textlink="">
        <xdr:nvSpPr>
          <xdr:cNvPr id="38" name="Rectangle: Rounded Corners 37">
            <a:extLst>
              <a:ext uri="{FF2B5EF4-FFF2-40B4-BE49-F238E27FC236}">
                <a16:creationId xmlns:a16="http://schemas.microsoft.com/office/drawing/2014/main" id="{4C6F3B7B-7490-0675-1D4B-2E3C8A0D5A33}"/>
              </a:ext>
            </a:extLst>
          </xdr:cNvPr>
          <xdr:cNvSpPr/>
        </xdr:nvSpPr>
        <xdr:spPr>
          <a:xfrm>
            <a:off x="923925" y="1981200"/>
            <a:ext cx="2007336" cy="2445854"/>
          </a:xfrm>
          <a:prstGeom prst="round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tx1"/>
                </a:solidFill>
                <a:latin typeface="Times New Roman" panose="02020603050405020304" pitchFamily="18" charset="0"/>
                <a:cs typeface="Times New Roman" panose="02020603050405020304" pitchFamily="18" charset="0"/>
              </a:rPr>
              <a:t>3</a:t>
            </a:r>
          </a:p>
        </xdr:txBody>
      </xdr:sp>
      <xdr:sp macro="" textlink="">
        <xdr:nvSpPr>
          <xdr:cNvPr id="39" name="Rectangle: Rounded Corners 38">
            <a:extLst>
              <a:ext uri="{FF2B5EF4-FFF2-40B4-BE49-F238E27FC236}">
                <a16:creationId xmlns:a16="http://schemas.microsoft.com/office/drawing/2014/main" id="{B8BE88AE-E36A-1567-5F00-3B50DE291F88}"/>
              </a:ext>
            </a:extLst>
          </xdr:cNvPr>
          <xdr:cNvSpPr/>
        </xdr:nvSpPr>
        <xdr:spPr>
          <a:xfrm>
            <a:off x="923925" y="2536135"/>
            <a:ext cx="2009775" cy="236924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effectLst/>
                <a:latin typeface="Times New Roman" panose="02020603050405020304" pitchFamily="18" charset="0"/>
                <a:ea typeface="+mn-ea"/>
                <a:cs typeface="Times New Roman" panose="02020603050405020304" pitchFamily="18" charset="0"/>
              </a:rPr>
              <a:t>Examine factors that drive customers</a:t>
            </a:r>
            <a:r>
              <a:rPr lang="en-US" sz="1600" b="1" baseline="0">
                <a:solidFill>
                  <a:schemeClr val="tx1"/>
                </a:solidFill>
                <a:effectLst/>
                <a:latin typeface="Times New Roman" panose="02020603050405020304" pitchFamily="18" charset="0"/>
                <a:ea typeface="+mn-ea"/>
                <a:cs typeface="Times New Roman" panose="02020603050405020304" pitchFamily="18" charset="0"/>
              </a:rPr>
              <a:t> to leave</a:t>
            </a:r>
            <a:endParaRPr lang="en-US" sz="1600" b="1">
              <a:solidFill>
                <a:schemeClr val="tx1"/>
              </a:solidFill>
              <a:effectLst/>
              <a:latin typeface="Times New Roman" panose="02020603050405020304" pitchFamily="18" charset="0"/>
              <a:cs typeface="Times New Roman" panose="02020603050405020304" pitchFamily="18" charset="0"/>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US" sz="1600" b="1">
              <a:solidFill>
                <a:schemeClr val="tx1"/>
              </a:solidFill>
              <a:latin typeface="Times New Roman" panose="02020603050405020304" pitchFamily="18" charset="0"/>
              <a:cs typeface="Times New Roman" panose="02020603050405020304" pitchFamily="18" charset="0"/>
            </a:endParaRPr>
          </a:p>
        </xdr:txBody>
      </xdr:sp>
      <xdr:sp macro="" textlink="">
        <xdr:nvSpPr>
          <xdr:cNvPr id="40" name="Rectangle: Rounded Corners 39">
            <a:extLst>
              <a:ext uri="{FF2B5EF4-FFF2-40B4-BE49-F238E27FC236}">
                <a16:creationId xmlns:a16="http://schemas.microsoft.com/office/drawing/2014/main" id="{E422D702-DD58-F5B1-BBC6-B9A4C91F899D}"/>
              </a:ext>
            </a:extLst>
          </xdr:cNvPr>
          <xdr:cNvSpPr/>
        </xdr:nvSpPr>
        <xdr:spPr>
          <a:xfrm>
            <a:off x="914400" y="3552825"/>
            <a:ext cx="2000250" cy="2266950"/>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eaLnBrk="1" fontAlgn="auto" latinLnBrk="0" hangingPunct="1"/>
            <a:r>
              <a:rPr lang="en-US" sz="1400">
                <a:solidFill>
                  <a:schemeClr val="tx1"/>
                </a:solidFill>
                <a:effectLst/>
                <a:latin typeface="Times New Roman" panose="02020603050405020304" pitchFamily="18" charset="0"/>
                <a:ea typeface="+mn-ea"/>
                <a:cs typeface="Times New Roman" panose="02020603050405020304" pitchFamily="18" charset="0"/>
              </a:rPr>
              <a:t>Analyze</a:t>
            </a:r>
            <a:r>
              <a:rPr lang="en-US" sz="1400" baseline="0">
                <a:solidFill>
                  <a:schemeClr val="tx1"/>
                </a:solidFill>
                <a:effectLst/>
                <a:latin typeface="Times New Roman" panose="02020603050405020304" pitchFamily="18" charset="0"/>
                <a:ea typeface="+mn-ea"/>
                <a:cs typeface="Times New Roman" panose="02020603050405020304" pitchFamily="18" charset="0"/>
              </a:rPr>
              <a:t> trends &amp; patterns to disocover correltaion between services and churn</a:t>
            </a:r>
            <a:endParaRPr lang="en-US" sz="1400">
              <a:solidFill>
                <a:schemeClr val="tx1"/>
              </a:solidFill>
              <a:effectLst/>
              <a:latin typeface="Times New Roman" panose="02020603050405020304" pitchFamily="18" charset="0"/>
              <a:cs typeface="Times New Roman" panose="02020603050405020304" pitchFamily="18" charset="0"/>
            </a:endParaRPr>
          </a:p>
        </xdr:txBody>
      </xdr:sp>
    </xdr:grpSp>
    <xdr:clientData/>
  </xdr:twoCellAnchor>
  <xdr:twoCellAnchor>
    <xdr:from>
      <xdr:col>4</xdr:col>
      <xdr:colOff>314325</xdr:colOff>
      <xdr:row>6</xdr:row>
      <xdr:rowOff>38100</xdr:rowOff>
    </xdr:from>
    <xdr:to>
      <xdr:col>7</xdr:col>
      <xdr:colOff>504825</xdr:colOff>
      <xdr:row>26</xdr:row>
      <xdr:rowOff>66675</xdr:rowOff>
    </xdr:to>
    <xdr:grpSp>
      <xdr:nvGrpSpPr>
        <xdr:cNvPr id="41" name="Group 40">
          <a:extLst>
            <a:ext uri="{FF2B5EF4-FFF2-40B4-BE49-F238E27FC236}">
              <a16:creationId xmlns:a16="http://schemas.microsoft.com/office/drawing/2014/main" id="{FEEEA481-486A-4CE9-8453-E8C82D2CDFF3}"/>
            </a:ext>
          </a:extLst>
        </xdr:cNvPr>
        <xdr:cNvGrpSpPr/>
      </xdr:nvGrpSpPr>
      <xdr:grpSpPr>
        <a:xfrm>
          <a:off x="2752725" y="904875"/>
          <a:ext cx="2019300" cy="3838575"/>
          <a:chOff x="914400" y="1981200"/>
          <a:chExt cx="2019300" cy="3838575"/>
        </a:xfrm>
      </xdr:grpSpPr>
      <xdr:sp macro="" textlink="">
        <xdr:nvSpPr>
          <xdr:cNvPr id="42" name="Rectangle: Rounded Corners 41">
            <a:extLst>
              <a:ext uri="{FF2B5EF4-FFF2-40B4-BE49-F238E27FC236}">
                <a16:creationId xmlns:a16="http://schemas.microsoft.com/office/drawing/2014/main" id="{F5D41833-7F7F-6B9F-2679-65FAA5A9C65F}"/>
              </a:ext>
            </a:extLst>
          </xdr:cNvPr>
          <xdr:cNvSpPr/>
        </xdr:nvSpPr>
        <xdr:spPr>
          <a:xfrm>
            <a:off x="923925" y="1981200"/>
            <a:ext cx="2007336" cy="2445854"/>
          </a:xfrm>
          <a:prstGeom prst="round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tx1"/>
                </a:solidFill>
                <a:latin typeface="Times New Roman" panose="02020603050405020304" pitchFamily="18" charset="0"/>
                <a:cs typeface="Times New Roman" panose="02020603050405020304" pitchFamily="18" charset="0"/>
              </a:rPr>
              <a:t>2</a:t>
            </a:r>
          </a:p>
        </xdr:txBody>
      </xdr:sp>
      <xdr:sp macro="" textlink="">
        <xdr:nvSpPr>
          <xdr:cNvPr id="43" name="Rectangle: Rounded Corners 42">
            <a:extLst>
              <a:ext uri="{FF2B5EF4-FFF2-40B4-BE49-F238E27FC236}">
                <a16:creationId xmlns:a16="http://schemas.microsoft.com/office/drawing/2014/main" id="{61B14EB7-B298-AF7D-DC38-DC08A6806DE3}"/>
              </a:ext>
            </a:extLst>
          </xdr:cNvPr>
          <xdr:cNvSpPr/>
        </xdr:nvSpPr>
        <xdr:spPr>
          <a:xfrm>
            <a:off x="923925" y="2536135"/>
            <a:ext cx="2009775" cy="236924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effectLst/>
                <a:latin typeface="Times New Roman" panose="02020603050405020304" pitchFamily="18" charset="0"/>
                <a:ea typeface="+mn-ea"/>
                <a:cs typeface="Times New Roman" panose="02020603050405020304" pitchFamily="18" charset="0"/>
              </a:rPr>
              <a:t>Analyze the top affected cities</a:t>
            </a:r>
            <a:endParaRPr lang="en-US" sz="1600" b="1">
              <a:solidFill>
                <a:schemeClr val="tx1"/>
              </a:solidFill>
              <a:effectLst/>
              <a:latin typeface="Times New Roman" panose="02020603050405020304" pitchFamily="18" charset="0"/>
              <a:cs typeface="Times New Roman" panose="02020603050405020304" pitchFamily="18" charset="0"/>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US" sz="1600" b="1">
              <a:solidFill>
                <a:schemeClr val="tx1"/>
              </a:solidFill>
              <a:latin typeface="Times New Roman" panose="02020603050405020304" pitchFamily="18" charset="0"/>
              <a:cs typeface="Times New Roman" panose="02020603050405020304" pitchFamily="18" charset="0"/>
            </a:endParaRPr>
          </a:p>
        </xdr:txBody>
      </xdr:sp>
      <xdr:sp macro="" textlink="">
        <xdr:nvSpPr>
          <xdr:cNvPr id="44" name="Rectangle: Rounded Corners 43">
            <a:extLst>
              <a:ext uri="{FF2B5EF4-FFF2-40B4-BE49-F238E27FC236}">
                <a16:creationId xmlns:a16="http://schemas.microsoft.com/office/drawing/2014/main" id="{24843E78-8527-51A6-5DCA-031177AE0AAC}"/>
              </a:ext>
            </a:extLst>
          </xdr:cNvPr>
          <xdr:cNvSpPr/>
        </xdr:nvSpPr>
        <xdr:spPr>
          <a:xfrm>
            <a:off x="914400" y="3552825"/>
            <a:ext cx="2000250" cy="2266950"/>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eaLnBrk="1" fontAlgn="auto" latinLnBrk="0" hangingPunct="1"/>
            <a:r>
              <a:rPr lang="en-US" sz="1400">
                <a:solidFill>
                  <a:schemeClr val="tx1"/>
                </a:solidFill>
                <a:effectLst/>
                <a:latin typeface="Times New Roman" panose="02020603050405020304" pitchFamily="18" charset="0"/>
                <a:ea typeface="+mn-ea"/>
                <a:cs typeface="Times New Roman" panose="02020603050405020304" pitchFamily="18" charset="0"/>
              </a:rPr>
              <a:t>Identify the main</a:t>
            </a:r>
            <a:r>
              <a:rPr lang="en-US" sz="1400" baseline="0">
                <a:solidFill>
                  <a:schemeClr val="tx1"/>
                </a:solidFill>
                <a:effectLst/>
                <a:latin typeface="Times New Roman" panose="02020603050405020304" pitchFamily="18" charset="0"/>
                <a:ea typeface="+mn-ea"/>
                <a:cs typeface="Times New Roman" panose="02020603050405020304" pitchFamily="18" charset="0"/>
              </a:rPr>
              <a:t> reason behind customer leaving in the most affected cities</a:t>
            </a:r>
            <a:endParaRPr lang="en-US" sz="1400">
              <a:solidFill>
                <a:schemeClr val="tx1"/>
              </a:solidFill>
              <a:effectLst/>
              <a:latin typeface="Times New Roman" panose="02020603050405020304" pitchFamily="18" charset="0"/>
              <a:cs typeface="Times New Roman" panose="02020603050405020304" pitchFamily="18" charset="0"/>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16383</xdr:col>
      <xdr:colOff>2524125</xdr:colOff>
      <xdr:row>59</xdr:row>
      <xdr:rowOff>0</xdr:rowOff>
    </xdr:to>
    <xdr:grpSp>
      <xdr:nvGrpSpPr>
        <xdr:cNvPr id="6" name="Group 5">
          <a:extLst>
            <a:ext uri="{FF2B5EF4-FFF2-40B4-BE49-F238E27FC236}">
              <a16:creationId xmlns:a16="http://schemas.microsoft.com/office/drawing/2014/main" id="{AEA539C4-4B48-0408-C885-2AB39E0D6607}"/>
            </a:ext>
          </a:extLst>
        </xdr:cNvPr>
        <xdr:cNvGrpSpPr/>
      </xdr:nvGrpSpPr>
      <xdr:grpSpPr>
        <a:xfrm>
          <a:off x="0" y="0"/>
          <a:ext cx="23266213" cy="12292853"/>
          <a:chOff x="0" y="0"/>
          <a:chExt cx="23336250" cy="12275344"/>
        </a:xfrm>
      </xdr:grpSpPr>
      <xdr:sp macro="" textlink="">
        <xdr:nvSpPr>
          <xdr:cNvPr id="2" name="Rectangle 1">
            <a:extLst>
              <a:ext uri="{FF2B5EF4-FFF2-40B4-BE49-F238E27FC236}">
                <a16:creationId xmlns:a16="http://schemas.microsoft.com/office/drawing/2014/main" id="{301702D0-94CB-4A6D-8BA7-73240FEEE168}"/>
              </a:ext>
            </a:extLst>
          </xdr:cNvPr>
          <xdr:cNvSpPr/>
        </xdr:nvSpPr>
        <xdr:spPr>
          <a:xfrm>
            <a:off x="0" y="37198"/>
            <a:ext cx="23320261" cy="898587"/>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chemeClr val="tx1"/>
                </a:solidFill>
                <a:latin typeface="Times New Roman" panose="02020603050405020304" pitchFamily="18" charset="0"/>
                <a:cs typeface="Times New Roman" panose="02020603050405020304" pitchFamily="18" charset="0"/>
              </a:rPr>
              <a:t>Telco Q3 Customer Churn</a:t>
            </a:r>
            <a:r>
              <a:rPr lang="en-US" sz="2800" b="1" baseline="0">
                <a:solidFill>
                  <a:schemeClr val="tx1"/>
                </a:solidFill>
                <a:latin typeface="Times New Roman" panose="02020603050405020304" pitchFamily="18" charset="0"/>
                <a:cs typeface="Times New Roman" panose="02020603050405020304" pitchFamily="18" charset="0"/>
              </a:rPr>
              <a:t> and Retention Analysis</a:t>
            </a:r>
            <a:endParaRPr lang="en-US" sz="2800" b="1">
              <a:solidFill>
                <a:schemeClr val="tx1"/>
              </a:solidFill>
              <a:latin typeface="Times New Roman" panose="02020603050405020304" pitchFamily="18" charset="0"/>
              <a:cs typeface="Times New Roman" panose="02020603050405020304" pitchFamily="18" charset="0"/>
            </a:endParaRPr>
          </a:p>
        </xdr:txBody>
      </xdr:sp>
      <xdr:sp macro="" textlink="">
        <xdr:nvSpPr>
          <xdr:cNvPr id="3" name="Rectangle 2">
            <a:extLst>
              <a:ext uri="{FF2B5EF4-FFF2-40B4-BE49-F238E27FC236}">
                <a16:creationId xmlns:a16="http://schemas.microsoft.com/office/drawing/2014/main" id="{53C7A2AB-482B-4D11-A2F4-BA2793949AE6}"/>
              </a:ext>
            </a:extLst>
          </xdr:cNvPr>
          <xdr:cNvSpPr/>
        </xdr:nvSpPr>
        <xdr:spPr>
          <a:xfrm>
            <a:off x="1280736" y="2252302"/>
            <a:ext cx="22051251" cy="4924726"/>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1">
                <a:solidFill>
                  <a:schemeClr val="tx1"/>
                </a:solidFill>
              </a:rPr>
              <a:t>CHURN REASONS</a:t>
            </a:r>
            <a:endParaRPr lang="en-US" sz="2000" b="1">
              <a:solidFill>
                <a:schemeClr val="tx1"/>
              </a:solidFill>
              <a:effectLst/>
            </a:endParaRPr>
          </a:p>
          <a:p>
            <a:pPr algn="ctr"/>
            <a:endParaRPr lang="en-US" sz="2000" b="1">
              <a:solidFill>
                <a:schemeClr val="tx1"/>
              </a:solidFill>
            </a:endParaRPr>
          </a:p>
        </xdr:txBody>
      </xdr:sp>
      <xdr:graphicFrame macro="">
        <xdr:nvGraphicFramePr>
          <xdr:cNvPr id="4" name="Chart 3">
            <a:extLst>
              <a:ext uri="{FF2B5EF4-FFF2-40B4-BE49-F238E27FC236}">
                <a16:creationId xmlns:a16="http://schemas.microsoft.com/office/drawing/2014/main" id="{14373412-9A91-421B-B1CF-F00068E40EDF}"/>
              </a:ext>
            </a:extLst>
          </xdr:cNvPr>
          <xdr:cNvGraphicFramePr>
            <a:graphicFrameLocks/>
          </xdr:cNvGraphicFramePr>
        </xdr:nvGraphicFramePr>
        <xdr:xfrm>
          <a:off x="1464141" y="2608822"/>
          <a:ext cx="6162711" cy="447368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5" name="Chart 4">
            <a:extLst>
              <a:ext uri="{FF2B5EF4-FFF2-40B4-BE49-F238E27FC236}">
                <a16:creationId xmlns:a16="http://schemas.microsoft.com/office/drawing/2014/main" id="{BFA731A1-3E3A-4693-99CF-46FC2A136D5F}"/>
              </a:ext>
            </a:extLst>
          </xdr:cNvPr>
          <xdr:cNvGraphicFramePr>
            <a:graphicFrameLocks/>
          </xdr:cNvGraphicFramePr>
        </xdr:nvGraphicFramePr>
        <xdr:xfrm>
          <a:off x="7730688" y="2625741"/>
          <a:ext cx="7865985" cy="4457927"/>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9" name="Chart 8">
            <a:extLst>
              <a:ext uri="{FF2B5EF4-FFF2-40B4-BE49-F238E27FC236}">
                <a16:creationId xmlns:a16="http://schemas.microsoft.com/office/drawing/2014/main" id="{D992DFC5-6D9B-4C78-B1CA-675DBFB472B6}"/>
              </a:ext>
            </a:extLst>
          </xdr:cNvPr>
          <xdr:cNvGraphicFramePr>
            <a:graphicFrameLocks/>
          </xdr:cNvGraphicFramePr>
        </xdr:nvGraphicFramePr>
        <xdr:xfrm>
          <a:off x="15720262" y="2630409"/>
          <a:ext cx="7529646" cy="4452092"/>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10" name="Rectangle 9">
            <a:extLst>
              <a:ext uri="{FF2B5EF4-FFF2-40B4-BE49-F238E27FC236}">
                <a16:creationId xmlns:a16="http://schemas.microsoft.com/office/drawing/2014/main" id="{3FBA9A98-93A5-4631-A74A-26B565C42B35}"/>
              </a:ext>
            </a:extLst>
          </xdr:cNvPr>
          <xdr:cNvSpPr/>
        </xdr:nvSpPr>
        <xdr:spPr>
          <a:xfrm>
            <a:off x="1259150" y="7310583"/>
            <a:ext cx="22077100" cy="4964761"/>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tx1"/>
                </a:solidFill>
                <a:effectLst/>
                <a:latin typeface="+mn-lt"/>
                <a:ea typeface="+mn-ea"/>
                <a:cs typeface="+mn-cs"/>
              </a:rPr>
              <a:t>CHURN vs RETENTIN</a:t>
            </a:r>
            <a:endParaRPr lang="en-US" sz="2000" b="1">
              <a:solidFill>
                <a:schemeClr val="tx1"/>
              </a:solidFill>
            </a:endParaRPr>
          </a:p>
        </xdr:txBody>
      </xdr:sp>
      <xdr:graphicFrame macro="">
        <xdr:nvGraphicFramePr>
          <xdr:cNvPr id="11" name="Chart 10">
            <a:extLst>
              <a:ext uri="{FF2B5EF4-FFF2-40B4-BE49-F238E27FC236}">
                <a16:creationId xmlns:a16="http://schemas.microsoft.com/office/drawing/2014/main" id="{DD76888F-2C10-4490-AF16-C20AB41FF730}"/>
              </a:ext>
            </a:extLst>
          </xdr:cNvPr>
          <xdr:cNvGraphicFramePr>
            <a:graphicFrameLocks/>
          </xdr:cNvGraphicFramePr>
        </xdr:nvGraphicFramePr>
        <xdr:xfrm>
          <a:off x="1450002" y="7687591"/>
          <a:ext cx="7004293" cy="4463759"/>
        </xdr:xfrm>
        <a:graphic>
          <a:graphicData uri="http://schemas.openxmlformats.org/drawingml/2006/chart">
            <c:chart xmlns:c="http://schemas.openxmlformats.org/drawingml/2006/chart" xmlns:r="http://schemas.openxmlformats.org/officeDocument/2006/relationships" r:id="rId4"/>
          </a:graphicData>
        </a:graphic>
      </xdr:graphicFrame>
      <xdr:grpSp>
        <xdr:nvGrpSpPr>
          <xdr:cNvPr id="42" name="Group 41">
            <a:extLst>
              <a:ext uri="{FF2B5EF4-FFF2-40B4-BE49-F238E27FC236}">
                <a16:creationId xmlns:a16="http://schemas.microsoft.com/office/drawing/2014/main" id="{28829AA1-9355-A826-4F56-B929D0E80C34}"/>
              </a:ext>
            </a:extLst>
          </xdr:cNvPr>
          <xdr:cNvGrpSpPr/>
        </xdr:nvGrpSpPr>
        <xdr:grpSpPr>
          <a:xfrm>
            <a:off x="8547863" y="7697759"/>
            <a:ext cx="6973197" cy="4441193"/>
            <a:chOff x="8486807" y="7391640"/>
            <a:chExt cx="6923389" cy="4264579"/>
          </a:xfrm>
        </xdr:grpSpPr>
        <xdr:graphicFrame macro="">
          <xdr:nvGraphicFramePr>
            <xdr:cNvPr id="13" name="Chart 12">
              <a:extLst>
                <a:ext uri="{FF2B5EF4-FFF2-40B4-BE49-F238E27FC236}">
                  <a16:creationId xmlns:a16="http://schemas.microsoft.com/office/drawing/2014/main" id="{BADCAFA4-6A0A-3AD2-643A-0383D376E304}"/>
                </a:ext>
              </a:extLst>
            </xdr:cNvPr>
            <xdr:cNvGraphicFramePr/>
          </xdr:nvGraphicFramePr>
          <xdr:xfrm>
            <a:off x="8486807" y="7391640"/>
            <a:ext cx="6919881" cy="4264579"/>
          </xdr:xfrm>
          <a:graphic>
            <a:graphicData uri="http://schemas.openxmlformats.org/drawingml/2006/chart">
              <c:chart xmlns:c="http://schemas.openxmlformats.org/drawingml/2006/chart" xmlns:r="http://schemas.openxmlformats.org/officeDocument/2006/relationships" r:id="rId5"/>
            </a:graphicData>
          </a:graphic>
        </xdr:graphicFrame>
        <mc:AlternateContent xmlns:mc="http://schemas.openxmlformats.org/markup-compatibility/2006" xmlns:a14="http://schemas.microsoft.com/office/drawing/2010/main">
          <mc:Choice Requires="a14">
            <xdr:graphicFrame macro="">
              <xdr:nvGraphicFramePr>
                <xdr:cNvPr id="14" name="contract_type">
                  <a:extLst>
                    <a:ext uri="{FF2B5EF4-FFF2-40B4-BE49-F238E27FC236}">
                      <a16:creationId xmlns:a16="http://schemas.microsoft.com/office/drawing/2014/main" id="{E853E2B6-1D8E-BF63-7E76-3191D14903C0}"/>
                    </a:ext>
                  </a:extLst>
                </xdr:cNvPr>
                <xdr:cNvGraphicFramePr/>
              </xdr:nvGraphicFramePr>
              <xdr:xfrm>
                <a:off x="13775788" y="7417593"/>
                <a:ext cx="1634408" cy="1298583"/>
              </xdr:xfrm>
              <a:graphic>
                <a:graphicData uri="http://schemas.microsoft.com/office/drawing/2010/slicer">
                  <sle:slicer xmlns:sle="http://schemas.microsoft.com/office/drawing/2010/slicer" name="contract_type"/>
                </a:graphicData>
              </a:graphic>
            </xdr:graphicFrame>
          </mc:Choice>
          <mc:Fallback xmlns="">
            <xdr:sp macro="" textlink="">
              <xdr:nvSpPr>
                <xdr:cNvPr id="0" name=""/>
                <xdr:cNvSpPr>
                  <a:spLocks noTextEdit="1"/>
                </xdr:cNvSpPr>
              </xdr:nvSpPr>
              <xdr:spPr>
                <a:xfrm>
                  <a:off x="14003889" y="7745600"/>
                  <a:ext cx="1661471" cy="13560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aphicFrame macro="">
        <xdr:nvGraphicFramePr>
          <xdr:cNvPr id="15" name="Chart 14">
            <a:extLst>
              <a:ext uri="{FF2B5EF4-FFF2-40B4-BE49-F238E27FC236}">
                <a16:creationId xmlns:a16="http://schemas.microsoft.com/office/drawing/2014/main" id="{C78B7896-1468-45F1-B1D2-BBE8F68B9515}"/>
              </a:ext>
            </a:extLst>
          </xdr:cNvPr>
          <xdr:cNvGraphicFramePr>
            <a:graphicFrameLocks/>
          </xdr:cNvGraphicFramePr>
        </xdr:nvGraphicFramePr>
        <xdr:xfrm>
          <a:off x="15646758" y="7681351"/>
          <a:ext cx="7617540" cy="4457601"/>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16" name="Rectangle 15">
            <a:extLst>
              <a:ext uri="{FF2B5EF4-FFF2-40B4-BE49-F238E27FC236}">
                <a16:creationId xmlns:a16="http://schemas.microsoft.com/office/drawing/2014/main" id="{A903C73C-FCEB-4DA2-9C0E-126D05D28B50}"/>
              </a:ext>
            </a:extLst>
          </xdr:cNvPr>
          <xdr:cNvSpPr/>
        </xdr:nvSpPr>
        <xdr:spPr>
          <a:xfrm>
            <a:off x="1364820" y="1050295"/>
            <a:ext cx="21966101" cy="1073639"/>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tx1"/>
                </a:solidFill>
                <a:latin typeface="Times New Roman" panose="02020603050405020304" pitchFamily="18" charset="0"/>
                <a:cs typeface="Times New Roman" panose="02020603050405020304" pitchFamily="18" charset="0"/>
              </a:rPr>
              <a:t>Q3 customer stats</a:t>
            </a:r>
          </a:p>
        </xdr:txBody>
      </xdr:sp>
      <xdr:cxnSp macro="">
        <xdr:nvCxnSpPr>
          <xdr:cNvPr id="22" name="Straight Connector 21">
            <a:extLst>
              <a:ext uri="{FF2B5EF4-FFF2-40B4-BE49-F238E27FC236}">
                <a16:creationId xmlns:a16="http://schemas.microsoft.com/office/drawing/2014/main" id="{CCF03214-7995-D60F-A036-3E27812FEC3C}"/>
              </a:ext>
            </a:extLst>
          </xdr:cNvPr>
          <xdr:cNvCxnSpPr/>
        </xdr:nvCxnSpPr>
        <xdr:spPr>
          <a:xfrm flipH="1">
            <a:off x="1355085" y="0"/>
            <a:ext cx="3528" cy="12275344"/>
          </a:xfrm>
          <a:prstGeom prst="line">
            <a:avLst/>
          </a:prstGeom>
        </xdr:spPr>
        <xdr:style>
          <a:lnRef idx="2">
            <a:schemeClr val="dk1"/>
          </a:lnRef>
          <a:fillRef idx="0">
            <a:schemeClr val="dk1"/>
          </a:fillRef>
          <a:effectRef idx="1">
            <a:schemeClr val="dk1"/>
          </a:effectRef>
          <a:fontRef idx="minor">
            <a:schemeClr val="tx1"/>
          </a:fontRef>
        </xdr:style>
      </xdr:cxnSp>
      <xdr:cxnSp macro="">
        <xdr:nvCxnSpPr>
          <xdr:cNvPr id="24" name="Straight Connector 23">
            <a:extLst>
              <a:ext uri="{FF2B5EF4-FFF2-40B4-BE49-F238E27FC236}">
                <a16:creationId xmlns:a16="http://schemas.microsoft.com/office/drawing/2014/main" id="{AB03D26D-DA7B-4662-BFC9-2DBF1628CCAB}"/>
              </a:ext>
            </a:extLst>
          </xdr:cNvPr>
          <xdr:cNvCxnSpPr/>
        </xdr:nvCxnSpPr>
        <xdr:spPr>
          <a:xfrm flipV="1">
            <a:off x="1342812" y="892752"/>
            <a:ext cx="21981445" cy="24508"/>
          </a:xfrm>
          <a:prstGeom prst="line">
            <a:avLst/>
          </a:prstGeom>
        </xdr:spPr>
        <xdr:style>
          <a:lnRef idx="2">
            <a:schemeClr val="dk1"/>
          </a:lnRef>
          <a:fillRef idx="0">
            <a:schemeClr val="dk1"/>
          </a:fillRef>
          <a:effectRef idx="1">
            <a:schemeClr val="dk1"/>
          </a:effectRef>
          <a:fontRef idx="minor">
            <a:schemeClr val="tx1"/>
          </a:fontRef>
        </xdr:style>
      </xdr:cxnSp>
      <xdr:sp macro="" textlink="">
        <xdr:nvSpPr>
          <xdr:cNvPr id="35" name="Rectangle 34">
            <a:extLst>
              <a:ext uri="{FF2B5EF4-FFF2-40B4-BE49-F238E27FC236}">
                <a16:creationId xmlns:a16="http://schemas.microsoft.com/office/drawing/2014/main" id="{1CABAD02-ECBF-BB2A-3F0A-FE396EFF72AD}"/>
              </a:ext>
            </a:extLst>
          </xdr:cNvPr>
          <xdr:cNvSpPr/>
        </xdr:nvSpPr>
        <xdr:spPr>
          <a:xfrm>
            <a:off x="2123274" y="1459476"/>
            <a:ext cx="4224677" cy="58349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tx1"/>
                </a:solidFill>
                <a:latin typeface="Times New Roman" panose="02020603050405020304" pitchFamily="18" charset="0"/>
                <a:cs typeface="Times New Roman" panose="02020603050405020304" pitchFamily="18" charset="0"/>
              </a:rPr>
              <a:t>Total Customers: </a:t>
            </a:r>
            <a:r>
              <a:rPr lang="en-US" sz="1800" b="1" i="0" u="none" strike="noStrike">
                <a:solidFill>
                  <a:schemeClr val="tx1"/>
                </a:solidFill>
                <a:effectLst/>
                <a:latin typeface="Times New Roman" panose="02020603050405020304" pitchFamily="18" charset="0"/>
                <a:ea typeface="+mn-ea"/>
                <a:cs typeface="Times New Roman" panose="02020603050405020304" pitchFamily="18" charset="0"/>
              </a:rPr>
              <a:t>7043</a:t>
            </a:r>
            <a:r>
              <a:rPr lang="en-US" sz="1800" b="1">
                <a:solidFill>
                  <a:schemeClr val="tx1"/>
                </a:solidFill>
                <a:effectLst/>
                <a:latin typeface="Times New Roman" panose="02020603050405020304" pitchFamily="18" charset="0"/>
                <a:cs typeface="Times New Roman" panose="02020603050405020304" pitchFamily="18" charset="0"/>
              </a:rPr>
              <a:t> </a:t>
            </a:r>
            <a:endParaRPr lang="en-US" sz="1800" b="1">
              <a:solidFill>
                <a:schemeClr val="tx1"/>
              </a:solidFill>
              <a:latin typeface="Times New Roman" panose="02020603050405020304" pitchFamily="18" charset="0"/>
              <a:cs typeface="Times New Roman" panose="02020603050405020304" pitchFamily="18" charset="0"/>
            </a:endParaRPr>
          </a:p>
        </xdr:txBody>
      </xdr:sp>
      <xdr:sp macro="" textlink="">
        <xdr:nvSpPr>
          <xdr:cNvPr id="37" name="Rectangle 36">
            <a:extLst>
              <a:ext uri="{FF2B5EF4-FFF2-40B4-BE49-F238E27FC236}">
                <a16:creationId xmlns:a16="http://schemas.microsoft.com/office/drawing/2014/main" id="{9102E650-765A-C027-B44E-766264AC561B}"/>
              </a:ext>
            </a:extLst>
          </xdr:cNvPr>
          <xdr:cNvSpPr/>
        </xdr:nvSpPr>
        <xdr:spPr>
          <a:xfrm>
            <a:off x="7557019" y="1459476"/>
            <a:ext cx="4224677" cy="58349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tx1"/>
                </a:solidFill>
                <a:latin typeface="Times New Roman" panose="02020603050405020304" pitchFamily="18" charset="0"/>
                <a:cs typeface="Times New Roman" panose="02020603050405020304" pitchFamily="18" charset="0"/>
              </a:rPr>
              <a:t>Total Stayed: </a:t>
            </a:r>
            <a:r>
              <a:rPr lang="en-US" sz="1800" b="1" i="0" u="none" strike="noStrike">
                <a:solidFill>
                  <a:schemeClr val="tx1"/>
                </a:solidFill>
                <a:effectLst/>
                <a:latin typeface="Times New Roman" panose="02020603050405020304" pitchFamily="18" charset="0"/>
                <a:ea typeface="+mn-ea"/>
                <a:cs typeface="Times New Roman" panose="02020603050405020304" pitchFamily="18" charset="0"/>
              </a:rPr>
              <a:t>4720</a:t>
            </a:r>
            <a:r>
              <a:rPr lang="en-US" sz="1800" b="1">
                <a:solidFill>
                  <a:schemeClr val="tx1"/>
                </a:solidFill>
                <a:effectLst/>
                <a:latin typeface="Times New Roman" panose="02020603050405020304" pitchFamily="18" charset="0"/>
                <a:cs typeface="Times New Roman" panose="02020603050405020304" pitchFamily="18" charset="0"/>
              </a:rPr>
              <a:t> </a:t>
            </a:r>
            <a:endParaRPr lang="en-US" sz="1800" b="1">
              <a:solidFill>
                <a:schemeClr val="tx1"/>
              </a:solidFill>
              <a:latin typeface="Times New Roman" panose="02020603050405020304" pitchFamily="18" charset="0"/>
              <a:cs typeface="Times New Roman" panose="02020603050405020304" pitchFamily="18" charset="0"/>
            </a:endParaRPr>
          </a:p>
        </xdr:txBody>
      </xdr:sp>
      <xdr:sp macro="" textlink="">
        <xdr:nvSpPr>
          <xdr:cNvPr id="38" name="Rectangle 37">
            <a:extLst>
              <a:ext uri="{FF2B5EF4-FFF2-40B4-BE49-F238E27FC236}">
                <a16:creationId xmlns:a16="http://schemas.microsoft.com/office/drawing/2014/main" id="{5C19699E-D0A9-14E8-22D6-31F785B5E629}"/>
              </a:ext>
            </a:extLst>
          </xdr:cNvPr>
          <xdr:cNvSpPr/>
        </xdr:nvSpPr>
        <xdr:spPr>
          <a:xfrm>
            <a:off x="13013336" y="1471874"/>
            <a:ext cx="4224678" cy="58349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tx1"/>
                </a:solidFill>
                <a:latin typeface="Times New Roman" panose="02020603050405020304" pitchFamily="18" charset="0"/>
                <a:cs typeface="Times New Roman" panose="02020603050405020304" pitchFamily="18" charset="0"/>
              </a:rPr>
              <a:t>Total Churned: </a:t>
            </a:r>
            <a:r>
              <a:rPr lang="en-US" sz="1800" b="1" i="0" u="none" strike="noStrike">
                <a:solidFill>
                  <a:schemeClr val="tx1"/>
                </a:solidFill>
                <a:effectLst/>
                <a:latin typeface="Times New Roman" panose="02020603050405020304" pitchFamily="18" charset="0"/>
                <a:ea typeface="+mn-ea"/>
                <a:cs typeface="Times New Roman" panose="02020603050405020304" pitchFamily="18" charset="0"/>
              </a:rPr>
              <a:t>1869</a:t>
            </a:r>
            <a:r>
              <a:rPr lang="en-US" sz="1800" b="1">
                <a:solidFill>
                  <a:schemeClr val="tx1"/>
                </a:solidFill>
                <a:effectLst/>
                <a:latin typeface="Times New Roman" panose="02020603050405020304" pitchFamily="18" charset="0"/>
                <a:cs typeface="Times New Roman" panose="02020603050405020304" pitchFamily="18" charset="0"/>
              </a:rPr>
              <a:t> </a:t>
            </a:r>
            <a:endParaRPr lang="en-US" sz="1800" b="1">
              <a:solidFill>
                <a:schemeClr val="tx1"/>
              </a:solidFill>
              <a:latin typeface="Times New Roman" panose="02020603050405020304" pitchFamily="18" charset="0"/>
              <a:cs typeface="Times New Roman" panose="02020603050405020304" pitchFamily="18" charset="0"/>
            </a:endParaRPr>
          </a:p>
        </xdr:txBody>
      </xdr:sp>
      <xdr:sp macro="" textlink="">
        <xdr:nvSpPr>
          <xdr:cNvPr id="39" name="Rectangle 38">
            <a:extLst>
              <a:ext uri="{FF2B5EF4-FFF2-40B4-BE49-F238E27FC236}">
                <a16:creationId xmlns:a16="http://schemas.microsoft.com/office/drawing/2014/main" id="{6990FA1D-2428-128F-FC10-E100E37C73ED}"/>
              </a:ext>
            </a:extLst>
          </xdr:cNvPr>
          <xdr:cNvSpPr/>
        </xdr:nvSpPr>
        <xdr:spPr>
          <a:xfrm>
            <a:off x="18403344" y="1471875"/>
            <a:ext cx="4224678" cy="58349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tx1"/>
                </a:solidFill>
                <a:latin typeface="Times New Roman" panose="02020603050405020304" pitchFamily="18" charset="0"/>
                <a:cs typeface="Times New Roman" panose="02020603050405020304" pitchFamily="18" charset="0"/>
              </a:rPr>
              <a:t>New</a:t>
            </a:r>
            <a:r>
              <a:rPr lang="en-US" sz="1800" b="1" baseline="0">
                <a:solidFill>
                  <a:schemeClr val="tx1"/>
                </a:solidFill>
                <a:latin typeface="Times New Roman" panose="02020603050405020304" pitchFamily="18" charset="0"/>
                <a:cs typeface="Times New Roman" panose="02020603050405020304" pitchFamily="18" charset="0"/>
              </a:rPr>
              <a:t> Joined</a:t>
            </a:r>
            <a:r>
              <a:rPr lang="en-US" sz="1800" b="1">
                <a:solidFill>
                  <a:schemeClr val="tx1"/>
                </a:solidFill>
                <a:latin typeface="Times New Roman" panose="02020603050405020304" pitchFamily="18" charset="0"/>
                <a:cs typeface="Times New Roman" panose="02020603050405020304" pitchFamily="18" charset="0"/>
              </a:rPr>
              <a:t>: </a:t>
            </a:r>
            <a:r>
              <a:rPr lang="en-US" sz="1800" b="1" i="0" u="none" strike="noStrike">
                <a:solidFill>
                  <a:schemeClr val="tx1"/>
                </a:solidFill>
                <a:effectLst/>
                <a:latin typeface="Times New Roman" panose="02020603050405020304" pitchFamily="18" charset="0"/>
                <a:ea typeface="+mn-ea"/>
                <a:cs typeface="Times New Roman" panose="02020603050405020304" pitchFamily="18" charset="0"/>
              </a:rPr>
              <a:t>454</a:t>
            </a:r>
            <a:r>
              <a:rPr lang="en-US" sz="1800" b="1">
                <a:solidFill>
                  <a:schemeClr val="tx1"/>
                </a:solidFill>
                <a:effectLst/>
                <a:latin typeface="Times New Roman" panose="02020603050405020304" pitchFamily="18" charset="0"/>
                <a:cs typeface="Times New Roman" panose="02020603050405020304" pitchFamily="18" charset="0"/>
              </a:rPr>
              <a:t> </a:t>
            </a:r>
            <a:endParaRPr lang="en-US" sz="1800" b="1">
              <a:solidFill>
                <a:schemeClr val="tx1"/>
              </a:solidFill>
              <a:latin typeface="Times New Roman" panose="02020603050405020304" pitchFamily="18" charset="0"/>
              <a:cs typeface="Times New Roman" panose="02020603050405020304" pitchFamily="18" charset="0"/>
            </a:endParaRP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504823</xdr:colOff>
      <xdr:row>2</xdr:row>
      <xdr:rowOff>28575</xdr:rowOff>
    </xdr:from>
    <xdr:to>
      <xdr:col>16383</xdr:col>
      <xdr:colOff>85724</xdr:colOff>
      <xdr:row>20</xdr:row>
      <xdr:rowOff>76200</xdr:rowOff>
    </xdr:to>
    <xdr:grpSp>
      <xdr:nvGrpSpPr>
        <xdr:cNvPr id="2" name="Group 1">
          <a:extLst>
            <a:ext uri="{FF2B5EF4-FFF2-40B4-BE49-F238E27FC236}">
              <a16:creationId xmlns:a16="http://schemas.microsoft.com/office/drawing/2014/main" id="{B8593F2C-8B82-4D85-82B1-64FDDEC10FFF}"/>
            </a:ext>
          </a:extLst>
        </xdr:cNvPr>
        <xdr:cNvGrpSpPr/>
      </xdr:nvGrpSpPr>
      <xdr:grpSpPr>
        <a:xfrm>
          <a:off x="504823" y="409575"/>
          <a:ext cx="9944101" cy="3476625"/>
          <a:chOff x="1543050" y="495300"/>
          <a:chExt cx="7848600" cy="3409950"/>
        </a:xfrm>
      </xdr:grpSpPr>
      <xdr:sp macro="" textlink="">
        <xdr:nvSpPr>
          <xdr:cNvPr id="3" name="Rectangle: Rounded Corners 2">
            <a:extLst>
              <a:ext uri="{FF2B5EF4-FFF2-40B4-BE49-F238E27FC236}">
                <a16:creationId xmlns:a16="http://schemas.microsoft.com/office/drawing/2014/main" id="{1BC85964-ADE2-E8F2-8DBE-9ABBB97CA8FA}"/>
              </a:ext>
            </a:extLst>
          </xdr:cNvPr>
          <xdr:cNvSpPr/>
        </xdr:nvSpPr>
        <xdr:spPr>
          <a:xfrm>
            <a:off x="1543051" y="495300"/>
            <a:ext cx="7839075" cy="3295650"/>
          </a:xfrm>
          <a:prstGeom prst="round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tx1"/>
                </a:solidFill>
                <a:latin typeface="Times New Roman" panose="02020603050405020304" pitchFamily="18" charset="0"/>
                <a:cs typeface="Times New Roman" panose="02020603050405020304" pitchFamily="18" charset="0"/>
              </a:rPr>
              <a:t>Summary &amp; Key Findings</a:t>
            </a:r>
          </a:p>
        </xdr:txBody>
      </xdr:sp>
      <xdr:sp macro="" textlink="">
        <xdr:nvSpPr>
          <xdr:cNvPr id="4" name="Rectangle: Rounded Corners 3">
            <a:extLst>
              <a:ext uri="{FF2B5EF4-FFF2-40B4-BE49-F238E27FC236}">
                <a16:creationId xmlns:a16="http://schemas.microsoft.com/office/drawing/2014/main" id="{028A695E-DB19-EE4E-5143-846EB2852AD9}"/>
              </a:ext>
            </a:extLst>
          </xdr:cNvPr>
          <xdr:cNvSpPr/>
        </xdr:nvSpPr>
        <xdr:spPr>
          <a:xfrm>
            <a:off x="1543050" y="1152525"/>
            <a:ext cx="7848600" cy="2752725"/>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171450" lvl="0" indent="-171450" algn="l">
              <a:lnSpc>
                <a:spcPct val="200000"/>
              </a:lnSpc>
              <a:buFont typeface="Wingdings" panose="05000000000000000000" pitchFamily="2" charset="2"/>
              <a:buChar char="q"/>
            </a:pPr>
            <a:r>
              <a:rPr lang="en-US" sz="1200">
                <a:solidFill>
                  <a:schemeClr val="tx1"/>
                </a:solidFill>
                <a:effectLst/>
                <a:latin typeface="Times New Roman" panose="02020603050405020304" pitchFamily="18" charset="0"/>
                <a:ea typeface="+mn-ea"/>
                <a:cs typeface="Times New Roman" panose="02020603050405020304" pitchFamily="18" charset="0"/>
              </a:rPr>
              <a:t>Main churn category is compeitiro which comprises of 45% of the churn that happen</a:t>
            </a:r>
          </a:p>
          <a:p>
            <a:pPr marL="171450" lvl="0" indent="-171450" algn="l">
              <a:lnSpc>
                <a:spcPct val="200000"/>
              </a:lnSpc>
              <a:buFont typeface="Wingdings" panose="05000000000000000000" pitchFamily="2" charset="2"/>
              <a:buChar char="q"/>
            </a:pPr>
            <a:r>
              <a:rPr lang="en-US" sz="1200">
                <a:solidFill>
                  <a:schemeClr val="tx1"/>
                </a:solidFill>
                <a:effectLst/>
                <a:latin typeface="Times New Roman" panose="02020603050405020304" pitchFamily="18" charset="0"/>
                <a:ea typeface="+mn-ea"/>
                <a:cs typeface="Times New Roman" panose="02020603050405020304" pitchFamily="18" charset="0"/>
              </a:rPr>
              <a:t>Second most contributing reason is attitude of the staff and 70% of that came from poor attitude of the support person</a:t>
            </a:r>
          </a:p>
          <a:p>
            <a:pPr marL="171450" lvl="0" indent="-171450" algn="l">
              <a:lnSpc>
                <a:spcPct val="200000"/>
              </a:lnSpc>
              <a:buFont typeface="Wingdings" panose="05000000000000000000" pitchFamily="2" charset="2"/>
              <a:buChar char="q"/>
            </a:pPr>
            <a:r>
              <a:rPr lang="en-US" sz="1200">
                <a:solidFill>
                  <a:schemeClr val="tx1"/>
                </a:solidFill>
                <a:effectLst/>
                <a:latin typeface="Times New Roman" panose="02020603050405020304" pitchFamily="18" charset="0"/>
                <a:ea typeface="+mn-ea"/>
                <a:cs typeface="Times New Roman" panose="02020603050405020304" pitchFamily="18" charset="0"/>
              </a:rPr>
              <a:t>8 out of the top 10 affected areas top churn reason was  because compettitor had better devices and offer</a:t>
            </a:r>
          </a:p>
          <a:p>
            <a:pPr marL="171450" lvl="0" indent="-171450" algn="l">
              <a:lnSpc>
                <a:spcPct val="200000"/>
              </a:lnSpc>
              <a:buFont typeface="Wingdings" panose="05000000000000000000" pitchFamily="2" charset="2"/>
              <a:buChar char="q"/>
            </a:pPr>
            <a:r>
              <a:rPr lang="en-US" sz="1200">
                <a:solidFill>
                  <a:schemeClr val="tx1"/>
                </a:solidFill>
                <a:effectLst/>
                <a:latin typeface="Times New Roman" panose="02020603050405020304" pitchFamily="18" charset="0"/>
                <a:ea typeface="+mn-ea"/>
                <a:cs typeface="Times New Roman" panose="02020603050405020304" pitchFamily="18" charset="0"/>
              </a:rPr>
              <a:t>DSL internet type users had the most retention rate of  80.03% while optic fiber user had the most churn rate of  57.87%</a:t>
            </a:r>
          </a:p>
          <a:p>
            <a:pPr marL="171450" lvl="0" indent="-171450" algn="l">
              <a:lnSpc>
                <a:spcPct val="200000"/>
              </a:lnSpc>
              <a:buFont typeface="Wingdings" panose="05000000000000000000" pitchFamily="2" charset="2"/>
              <a:buChar char="q"/>
            </a:pPr>
            <a:r>
              <a:rPr lang="en-US" sz="1200">
                <a:solidFill>
                  <a:schemeClr val="tx1"/>
                </a:solidFill>
                <a:effectLst/>
                <a:latin typeface="Times New Roman" panose="02020603050405020304" pitchFamily="18" charset="0"/>
                <a:ea typeface="+mn-ea"/>
                <a:cs typeface="Times New Roman" panose="02020603050405020304" pitchFamily="18" charset="0"/>
              </a:rPr>
              <a:t>Customer who tend to use offer A had the most retention rate of 93.27% while customer using offer E had the most churn rate of 67.62%</a:t>
            </a:r>
          </a:p>
          <a:p>
            <a:pPr marL="171450" lvl="0" indent="-171450" algn="l">
              <a:lnSpc>
                <a:spcPct val="200000"/>
              </a:lnSpc>
              <a:buFont typeface="Wingdings" panose="05000000000000000000" pitchFamily="2" charset="2"/>
              <a:buChar char="q"/>
            </a:pPr>
            <a:r>
              <a:rPr lang="en-US" sz="1200">
                <a:solidFill>
                  <a:schemeClr val="tx1"/>
                </a:solidFill>
                <a:effectLst/>
                <a:latin typeface="Times New Roman" panose="02020603050405020304" pitchFamily="18" charset="0"/>
                <a:ea typeface="+mn-ea"/>
                <a:cs typeface="Times New Roman" panose="02020603050405020304" pitchFamily="18" charset="0"/>
              </a:rPr>
              <a:t>Churn rate decreases typically after customers continue services for 12 months</a:t>
            </a: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447674</xdr:colOff>
      <xdr:row>1</xdr:row>
      <xdr:rowOff>171449</xdr:rowOff>
    </xdr:from>
    <xdr:to>
      <xdr:col>16383</xdr:col>
      <xdr:colOff>2409825</xdr:colOff>
      <xdr:row>20</xdr:row>
      <xdr:rowOff>47624</xdr:rowOff>
    </xdr:to>
    <xdr:grpSp>
      <xdr:nvGrpSpPr>
        <xdr:cNvPr id="2" name="Group 1">
          <a:extLst>
            <a:ext uri="{FF2B5EF4-FFF2-40B4-BE49-F238E27FC236}">
              <a16:creationId xmlns:a16="http://schemas.microsoft.com/office/drawing/2014/main" id="{08E8934C-4488-4DCE-8E2D-74C1A145E72D}"/>
            </a:ext>
          </a:extLst>
        </xdr:cNvPr>
        <xdr:cNvGrpSpPr/>
      </xdr:nvGrpSpPr>
      <xdr:grpSpPr>
        <a:xfrm>
          <a:off x="447674" y="361949"/>
          <a:ext cx="14316076" cy="3495675"/>
          <a:chOff x="1543050" y="495300"/>
          <a:chExt cx="7848600" cy="3477762"/>
        </a:xfrm>
      </xdr:grpSpPr>
      <xdr:sp macro="" textlink="">
        <xdr:nvSpPr>
          <xdr:cNvPr id="3" name="Rectangle: Rounded Corners 2">
            <a:extLst>
              <a:ext uri="{FF2B5EF4-FFF2-40B4-BE49-F238E27FC236}">
                <a16:creationId xmlns:a16="http://schemas.microsoft.com/office/drawing/2014/main" id="{25A19323-5BBE-5159-601E-0CBE31F23535}"/>
              </a:ext>
            </a:extLst>
          </xdr:cNvPr>
          <xdr:cNvSpPr/>
        </xdr:nvSpPr>
        <xdr:spPr>
          <a:xfrm>
            <a:off x="1543051" y="495300"/>
            <a:ext cx="7839075" cy="3295650"/>
          </a:xfrm>
          <a:prstGeom prst="round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baseline="0">
                <a:solidFill>
                  <a:schemeClr val="tx1"/>
                </a:solidFill>
                <a:latin typeface="Times New Roman" panose="02020603050405020304" pitchFamily="18" charset="0"/>
                <a:cs typeface="Times New Roman" panose="02020603050405020304" pitchFamily="18" charset="0"/>
              </a:rPr>
              <a:t>Recommendations &amp; Strategic Next Steps</a:t>
            </a:r>
            <a:endParaRPr lang="en-US" sz="2000" b="1">
              <a:solidFill>
                <a:schemeClr val="tx1"/>
              </a:solidFill>
              <a:latin typeface="Times New Roman" panose="02020603050405020304" pitchFamily="18" charset="0"/>
              <a:cs typeface="Times New Roman" panose="02020603050405020304" pitchFamily="18" charset="0"/>
            </a:endParaRPr>
          </a:p>
        </xdr:txBody>
      </xdr:sp>
      <xdr:sp macro="" textlink="">
        <xdr:nvSpPr>
          <xdr:cNvPr id="4" name="Rectangle: Rounded Corners 3">
            <a:extLst>
              <a:ext uri="{FF2B5EF4-FFF2-40B4-BE49-F238E27FC236}">
                <a16:creationId xmlns:a16="http://schemas.microsoft.com/office/drawing/2014/main" id="{0387535E-DED2-E261-F5E4-E6EF6E164E2A}"/>
              </a:ext>
            </a:extLst>
          </xdr:cNvPr>
          <xdr:cNvSpPr/>
        </xdr:nvSpPr>
        <xdr:spPr>
          <a:xfrm>
            <a:off x="1543050" y="1152525"/>
            <a:ext cx="7848600" cy="2820537"/>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171450" lvl="0" indent="-171450" algn="l">
              <a:lnSpc>
                <a:spcPct val="200000"/>
              </a:lnSpc>
              <a:buFont typeface="Wingdings" panose="05000000000000000000" pitchFamily="2" charset="2"/>
              <a:buChar char="q"/>
            </a:pPr>
            <a:r>
              <a:rPr lang="en-US" sz="1200">
                <a:solidFill>
                  <a:schemeClr val="tx1"/>
                </a:solidFill>
                <a:effectLst/>
                <a:latin typeface="Times New Roman" panose="02020603050405020304" pitchFamily="18" charset="0"/>
                <a:ea typeface="+mn-ea"/>
                <a:cs typeface="Times New Roman" panose="02020603050405020304" pitchFamily="18" charset="0"/>
              </a:rPr>
              <a:t>Research current</a:t>
            </a:r>
            <a:r>
              <a:rPr lang="en-US" sz="1200" baseline="0">
                <a:solidFill>
                  <a:schemeClr val="tx1"/>
                </a:solidFill>
                <a:effectLst/>
                <a:latin typeface="Times New Roman" panose="02020603050405020304" pitchFamily="18" charset="0"/>
                <a:ea typeface="+mn-ea"/>
                <a:cs typeface="Times New Roman" panose="02020603050405020304" pitchFamily="18" charset="0"/>
              </a:rPr>
              <a:t> market products and invest in improved devices to compete with competitors</a:t>
            </a:r>
          </a:p>
          <a:p>
            <a:pPr marL="171450" lvl="0" indent="-171450" algn="l">
              <a:lnSpc>
                <a:spcPct val="200000"/>
              </a:lnSpc>
              <a:buFont typeface="Wingdings" panose="05000000000000000000" pitchFamily="2" charset="2"/>
              <a:buChar char="q"/>
            </a:pPr>
            <a:r>
              <a:rPr lang="en-US" sz="1200" baseline="0">
                <a:solidFill>
                  <a:schemeClr val="tx1"/>
                </a:solidFill>
                <a:effectLst/>
                <a:latin typeface="Times New Roman" panose="02020603050405020304" pitchFamily="18" charset="0"/>
                <a:ea typeface="+mn-ea"/>
                <a:cs typeface="Times New Roman" panose="02020603050405020304" pitchFamily="18" charset="0"/>
              </a:rPr>
              <a:t>Implement effective training for support personnel to offer optimal customer service experience</a:t>
            </a:r>
          </a:p>
          <a:p>
            <a:pPr marL="171450" lvl="0" indent="-171450" algn="l">
              <a:lnSpc>
                <a:spcPct val="200000"/>
              </a:lnSpc>
              <a:buFont typeface="Wingdings" panose="05000000000000000000" pitchFamily="2" charset="2"/>
              <a:buChar char="q"/>
            </a:pPr>
            <a:r>
              <a:rPr lang="en-US" sz="1200" baseline="0">
                <a:solidFill>
                  <a:schemeClr val="tx1"/>
                </a:solidFill>
                <a:effectLst/>
                <a:latin typeface="Times New Roman" panose="02020603050405020304" pitchFamily="18" charset="0"/>
                <a:ea typeface="+mn-ea"/>
                <a:cs typeface="Times New Roman" panose="02020603050405020304" pitchFamily="18" charset="0"/>
              </a:rPr>
              <a:t>Investigate the optic fiber services and users since they had the highest churn rate, and market DSL internet services through new promotions as they had the most retention rate</a:t>
            </a:r>
          </a:p>
          <a:p>
            <a:pPr marL="171450" lvl="0" indent="-171450" algn="l">
              <a:lnSpc>
                <a:spcPct val="200000"/>
              </a:lnSpc>
              <a:buFont typeface="Wingdings" panose="05000000000000000000" pitchFamily="2" charset="2"/>
              <a:buChar char="q"/>
            </a:pPr>
            <a:r>
              <a:rPr lang="en-US" sz="1200" baseline="0">
                <a:solidFill>
                  <a:schemeClr val="tx1"/>
                </a:solidFill>
                <a:effectLst/>
                <a:latin typeface="Times New Roman" panose="02020603050405020304" pitchFamily="18" charset="0"/>
                <a:ea typeface="+mn-ea"/>
                <a:cs typeface="Times New Roman" panose="02020603050405020304" pitchFamily="18" charset="0"/>
              </a:rPr>
              <a:t>Phase out Offer E if needed as it contributed the most to churn, and promote Offer A which was the best performing offer</a:t>
            </a:r>
          </a:p>
          <a:p>
            <a:pPr marL="171450" lvl="0" indent="-171450" algn="l">
              <a:lnSpc>
                <a:spcPct val="200000"/>
              </a:lnSpc>
              <a:buFont typeface="Wingdings" panose="05000000000000000000" pitchFamily="2" charset="2"/>
              <a:buChar char="q"/>
            </a:pPr>
            <a:r>
              <a:rPr lang="en-US" sz="1200" baseline="0">
                <a:solidFill>
                  <a:schemeClr val="tx1"/>
                </a:solidFill>
                <a:effectLst/>
                <a:latin typeface="Times New Roman" panose="02020603050405020304" pitchFamily="18" charset="0"/>
                <a:ea typeface="+mn-ea"/>
                <a:cs typeface="Times New Roman" panose="02020603050405020304" pitchFamily="18" charset="0"/>
              </a:rPr>
              <a:t>Switch to annual or long term contract plans from month-to-month plans as churn rate decreases after 12 months of stay within the company</a:t>
            </a:r>
          </a:p>
          <a:p>
            <a:pPr marL="171450" lvl="0" indent="-171450" algn="l">
              <a:lnSpc>
                <a:spcPct val="200000"/>
              </a:lnSpc>
              <a:buFont typeface="Wingdings" panose="05000000000000000000" pitchFamily="2" charset="2"/>
              <a:buChar char="q"/>
            </a:pPr>
            <a:r>
              <a:rPr lang="en-US" sz="1200" baseline="0">
                <a:solidFill>
                  <a:schemeClr val="tx1"/>
                </a:solidFill>
                <a:effectLst/>
                <a:latin typeface="Times New Roman" panose="02020603050405020304" pitchFamily="18" charset="0"/>
                <a:ea typeface="+mn-ea"/>
                <a:cs typeface="Times New Roman" panose="02020603050405020304" pitchFamily="18" charset="0"/>
              </a:rPr>
              <a:t>Use a machine learning model to predict customer behavior (churn or stay): </a:t>
            </a:r>
            <a:endParaRPr lang="en-US" sz="1200">
              <a:solidFill>
                <a:schemeClr val="tx1"/>
              </a:solidFill>
              <a:effectLst/>
              <a:latin typeface="Times New Roman" panose="02020603050405020304" pitchFamily="18" charset="0"/>
              <a:ea typeface="+mn-ea"/>
              <a:cs typeface="Times New Roman" panose="02020603050405020304" pitchFamily="18" charset="0"/>
            </a:endParaRPr>
          </a:p>
        </xdr:txBody>
      </xdr:sp>
    </xdr:grpSp>
    <xdr:clientData/>
  </xdr:twoCellAnchor>
  <xdr:twoCellAnchor>
    <xdr:from>
      <xdr:col>8</xdr:col>
      <xdr:colOff>571500</xdr:colOff>
      <xdr:row>16</xdr:row>
      <xdr:rowOff>9525</xdr:rowOff>
    </xdr:from>
    <xdr:to>
      <xdr:col>14</xdr:col>
      <xdr:colOff>38100</xdr:colOff>
      <xdr:row>17</xdr:row>
      <xdr:rowOff>142875</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55E5DB7B-C496-63FD-2AE4-EE7589891C1A}"/>
            </a:ext>
          </a:extLst>
        </xdr:cNvPr>
        <xdr:cNvSpPr/>
      </xdr:nvSpPr>
      <xdr:spPr>
        <a:xfrm>
          <a:off x="5448300" y="3057525"/>
          <a:ext cx="3124200" cy="323850"/>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0" cap="none" spc="0">
              <a:ln w="0"/>
              <a:solidFill>
                <a:schemeClr val="accent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rPr>
            <a:t>Customer Behavior</a:t>
          </a:r>
          <a:r>
            <a:rPr lang="en-US" sz="1200" b="0" cap="none" spc="0" baseline="0">
              <a:ln w="0"/>
              <a:solidFill>
                <a:schemeClr val="accent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rPr>
            <a:t> Prediction Model Link</a:t>
          </a:r>
          <a:endParaRPr lang="en-US" sz="1200" b="0" cap="none" spc="0">
            <a:ln w="0"/>
            <a:solidFill>
              <a:schemeClr val="accent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ndo Biswas" refreshedDate="46066.825709143515" createdVersion="8" refreshedVersion="8" minRefreshableVersion="3" recordCount="5" xr:uid="{B042931F-4B9F-45B5-9F4A-1E85CFBE8D5B}">
  <cacheSource type="worksheet">
    <worksheetSource name="Churn_Category_Analysis"/>
  </cacheSource>
  <cacheFields count="3">
    <cacheField name="churn_category" numFmtId="0">
      <sharedItems count="5">
        <s v="Competitor"/>
        <s v="Attitude"/>
        <s v="Dissatisfaction"/>
        <s v="Price"/>
        <s v="Other"/>
      </sharedItems>
    </cacheField>
    <cacheField name="total_churnend" numFmtId="0">
      <sharedItems containsSemiMixedTypes="0" containsString="0" containsNumber="1" containsInteger="1" minValue="200" maxValue="841"/>
    </cacheField>
    <cacheField name="churn_rate(%)" numFmtId="0">
      <sharedItems containsSemiMixedTypes="0" containsString="0" containsNumber="1" minValue="10.7" maxValue="4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ndo Biswas" refreshedDate="46066.870768287037" createdVersion="8" refreshedVersion="8" minRefreshableVersion="3" recordCount="5" xr:uid="{DC1884D9-9862-44D1-BC21-53FA071FD3E2}">
  <cacheSource type="worksheet">
    <worksheetSource ref="A14:E19" sheet="Phone_Internet_Churn_Analysis "/>
  </cacheSource>
  <cacheFields count="5">
    <cacheField name="service_type" numFmtId="0">
      <sharedItems count="5">
        <s v="Single Phone Line"/>
        <s v="Muliple Phone Line"/>
        <s v="Cable Internet"/>
        <s v="Fiber Optic Internet"/>
        <s v="DSL Internet"/>
      </sharedItems>
    </cacheField>
    <cacheField name="total_churned" numFmtId="0">
      <sharedItems/>
    </cacheField>
    <cacheField name="total_stayed" numFmtId="0">
      <sharedItems/>
    </cacheField>
    <cacheField name="Churn Rate" numFmtId="10">
      <sharedItems containsSemiMixedTypes="0" containsString="0" containsNumber="1" minValue="0.19973975276512687" maxValue="0.42126789366053169"/>
    </cacheField>
    <cacheField name="Retention Rate" numFmtId="10">
      <sharedItems containsSemiMixedTypes="0" containsString="0" containsNumber="1" minValue="0.57873210633946826" maxValue="0.800260247234873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ndo Biswas" refreshedDate="46066.87955046296" createdVersion="8" refreshedVersion="8" minRefreshableVersion="3" recordCount="6" xr:uid="{A43DEEE2-89D8-4FD1-9770-E197C1B546AE}">
  <cacheSource type="worksheet">
    <worksheetSource name="Offer_Churn_Analysis"/>
  </cacheSource>
  <cacheFields count="6">
    <cacheField name="offer" numFmtId="0">
      <sharedItems count="6">
        <s v="None"/>
        <s v="Offer E"/>
        <s v="Offer D"/>
        <s v="Offer A"/>
        <s v="Offer C"/>
        <s v="Offer B"/>
      </sharedItems>
    </cacheField>
    <cacheField name="total_used" numFmtId="0">
      <sharedItems containsSemiMixedTypes="0" containsString="0" containsNumber="1" containsInteger="1" minValue="415" maxValue="3598"/>
    </cacheField>
    <cacheField name="churned" numFmtId="0">
      <sharedItems containsSemiMixedTypes="0" containsString="0" containsNumber="1" containsInteger="1" minValue="35" maxValue="1051"/>
    </cacheField>
    <cacheField name="retained" numFmtId="0">
      <sharedItems containsSemiMixedTypes="0" containsString="0" containsNumber="1" containsInteger="1" minValue="204" maxValue="2547"/>
    </cacheField>
    <cacheField name="churn_rate" numFmtId="10">
      <sharedItems containsSemiMixedTypes="0" containsString="0" containsNumber="1" minValue="6.7299999999999999E-2" maxValue="0.67620000000000002"/>
    </cacheField>
    <cacheField name="retain_rate" numFmtId="10">
      <sharedItems containsSemiMixedTypes="0" containsString="0" containsNumber="1" minValue="0.32379999999999998" maxValue="0.93269999999999997"/>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ndo Biswas" refreshedDate="46066.885457175929" createdVersion="8" refreshedVersion="8" minRefreshableVersion="3" recordCount="15" xr:uid="{453F0D4E-5BB4-4C76-84C8-EE2414A94040}">
  <cacheSource type="worksheet">
    <worksheetSource name="Contract_Tenure_Churn_Analysis"/>
  </cacheSource>
  <cacheFields count="4">
    <cacheField name="contract_type" numFmtId="0">
      <sharedItems count="3">
        <s v="Month-to-Month"/>
        <s v="One Year"/>
        <s v="Two Year"/>
      </sharedItems>
    </cacheField>
    <cacheField name="tenure_group" numFmtId="0">
      <sharedItems count="5">
        <s v="0-12 months"/>
        <s v="13-24 months"/>
        <s v="25-36 months"/>
        <s v="37-48 months"/>
        <s v="49+ months"/>
      </sharedItems>
    </cacheField>
    <cacheField name="churned" numFmtId="0">
      <sharedItems containsSemiMixedTypes="0" containsString="0" containsNumber="1" containsInteger="1" minValue="0" maxValue="1024"/>
    </cacheField>
    <cacheField name="retained" numFmtId="0">
      <sharedItems containsSemiMixedTypes="0" containsString="0" containsNumber="1" containsInteger="1" minValue="105" maxValue="1258"/>
    </cacheField>
  </cacheFields>
  <extLst>
    <ext xmlns:x14="http://schemas.microsoft.com/office/spreadsheetml/2009/9/main" uri="{725AE2AE-9491-48be-B2B4-4EB974FC3084}">
      <x14:pivotCacheDefinition pivotCacheId="4995150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841"/>
    <n v="45"/>
  </r>
  <r>
    <x v="1"/>
    <n v="314"/>
    <n v="16.8"/>
  </r>
  <r>
    <x v="2"/>
    <n v="303"/>
    <n v="16.21"/>
  </r>
  <r>
    <x v="3"/>
    <n v="211"/>
    <n v="11.29"/>
  </r>
  <r>
    <x v="4"/>
    <n v="200"/>
    <n v="10.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s v="849"/>
    <s v="2170"/>
    <n v="0.28121894667108316"/>
    <n v="0.71878105332891684"/>
  </r>
  <r>
    <x v="1"/>
    <s v="850"/>
    <s v="2076"/>
    <n v="0.29049897470950103"/>
    <n v="0.70950102529049897"/>
  </r>
  <r>
    <x v="2"/>
    <s v="213"/>
    <s v="561"/>
    <n v="0.27519379844961239"/>
    <n v="0.72480620155038755"/>
  </r>
  <r>
    <x v="3"/>
    <s v="1236"/>
    <s v="1698"/>
    <n v="0.42126789366053169"/>
    <n v="0.57873210633946826"/>
  </r>
  <r>
    <x v="4"/>
    <s v="307"/>
    <s v="1230"/>
    <n v="0.19973975276512687"/>
    <n v="0.800260247234873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3598"/>
    <n v="1051"/>
    <n v="2547"/>
    <n v="0.29210000000000003"/>
    <n v="0.70789999999999997"/>
  </r>
  <r>
    <x v="1"/>
    <n v="630"/>
    <n v="426"/>
    <n v="204"/>
    <n v="0.67620000000000002"/>
    <n v="0.32379999999999998"/>
  </r>
  <r>
    <x v="2"/>
    <n v="602"/>
    <n v="161"/>
    <n v="441"/>
    <n v="0.26740000000000003"/>
    <n v="0.73260000000000003"/>
  </r>
  <r>
    <x v="3"/>
    <n v="520"/>
    <n v="35"/>
    <n v="485"/>
    <n v="6.7299999999999999E-2"/>
    <n v="0.93269999999999997"/>
  </r>
  <r>
    <x v="4"/>
    <n v="415"/>
    <n v="95"/>
    <n v="320"/>
    <n v="0.22889999999999999"/>
    <n v="0.77110000000000001"/>
  </r>
  <r>
    <x v="5"/>
    <n v="824"/>
    <n v="101"/>
    <n v="723"/>
    <n v="0.1226"/>
    <n v="0.87739999999999996"/>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x v="0"/>
    <n v="1024"/>
    <n v="481"/>
  </r>
  <r>
    <x v="0"/>
    <x v="1"/>
    <n v="278"/>
    <n v="408"/>
  </r>
  <r>
    <x v="1"/>
    <x v="2"/>
    <n v="20"/>
    <n v="248"/>
  </r>
  <r>
    <x v="0"/>
    <x v="3"/>
    <n v="106"/>
    <n v="176"/>
  </r>
  <r>
    <x v="0"/>
    <x v="2"/>
    <n v="158"/>
    <n v="275"/>
  </r>
  <r>
    <x v="1"/>
    <x v="1"/>
    <n v="16"/>
    <n v="199"/>
  </r>
  <r>
    <x v="0"/>
    <x v="4"/>
    <n v="89"/>
    <n v="207"/>
  </r>
  <r>
    <x v="1"/>
    <x v="0"/>
    <n v="13"/>
    <n v="109"/>
  </r>
  <r>
    <x v="1"/>
    <x v="4"/>
    <n v="82"/>
    <n v="561"/>
  </r>
  <r>
    <x v="1"/>
    <x v="3"/>
    <n v="35"/>
    <n v="243"/>
  </r>
  <r>
    <x v="2"/>
    <x v="4"/>
    <n v="42"/>
    <n v="1258"/>
  </r>
  <r>
    <x v="2"/>
    <x v="3"/>
    <n v="4"/>
    <n v="198"/>
  </r>
  <r>
    <x v="2"/>
    <x v="2"/>
    <n v="2"/>
    <n v="129"/>
  </r>
  <r>
    <x v="2"/>
    <x v="0"/>
    <n v="0"/>
    <n v="105"/>
  </r>
  <r>
    <x v="2"/>
    <x v="1"/>
    <n v="0"/>
    <n v="1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4F35EE-D61B-482F-973B-0DF2CD6FC3A9}" name="PivotTable4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rowHeaderCaption="Churn Category">
  <location ref="A10:B15" firstHeaderRow="1" firstDataRow="1" firstDataCol="1"/>
  <pivotFields count="3">
    <pivotField axis="axisRow" showAll="0" defaultSubtotal="0">
      <items count="5">
        <item x="0"/>
        <item x="1"/>
        <item x="2"/>
        <item x="4"/>
        <item x="3"/>
      </items>
    </pivotField>
    <pivotField showAll="0" defaultSubtotal="0"/>
    <pivotField dataField="1" showAll="0" defaultSubtotal="0"/>
  </pivotFields>
  <rowFields count="1">
    <field x="0"/>
  </rowFields>
  <rowItems count="5">
    <i>
      <x/>
    </i>
    <i>
      <x v="1"/>
    </i>
    <i>
      <x v="2"/>
    </i>
    <i>
      <x v="3"/>
    </i>
    <i>
      <x v="4"/>
    </i>
  </rowItems>
  <colItems count="1">
    <i/>
  </colItems>
  <dataFields count="1">
    <dataField name="Churn Rate (%)" fld="2" baseField="0" baseItem="0"/>
  </dataFields>
  <chartFormats count="18">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0" count="1" selected="0">
            <x v="0"/>
          </reference>
        </references>
      </pivotArea>
    </chartFormat>
    <chartFormat chart="6" format="9">
      <pivotArea type="data" outline="0" fieldPosition="0">
        <references count="2">
          <reference field="4294967294" count="1" selected="0">
            <x v="0"/>
          </reference>
          <reference field="0" count="1" selected="0">
            <x v="1"/>
          </reference>
        </references>
      </pivotArea>
    </chartFormat>
    <chartFormat chart="6" format="10">
      <pivotArea type="data" outline="0" fieldPosition="0">
        <references count="2">
          <reference field="4294967294" count="1" selected="0">
            <x v="0"/>
          </reference>
          <reference field="0" count="1" selected="0">
            <x v="2"/>
          </reference>
        </references>
      </pivotArea>
    </chartFormat>
    <chartFormat chart="6" format="11">
      <pivotArea type="data" outline="0" fieldPosition="0">
        <references count="2">
          <reference field="4294967294" count="1" selected="0">
            <x v="0"/>
          </reference>
          <reference field="0" count="1" selected="0">
            <x v="3"/>
          </reference>
        </references>
      </pivotArea>
    </chartFormat>
    <chartFormat chart="6" format="12">
      <pivotArea type="data" outline="0" fieldPosition="0">
        <references count="2">
          <reference field="4294967294" count="1" selected="0">
            <x v="0"/>
          </reference>
          <reference field="0" count="1" selected="0">
            <x v="4"/>
          </reference>
        </references>
      </pivotArea>
    </chartFormat>
    <chartFormat chart="10" format="19" series="1">
      <pivotArea type="data" outline="0" fieldPosition="0">
        <references count="1">
          <reference field="4294967294" count="1" selected="0">
            <x v="0"/>
          </reference>
        </references>
      </pivotArea>
    </chartFormat>
    <chartFormat chart="10" format="20">
      <pivotArea type="data" outline="0" fieldPosition="0">
        <references count="2">
          <reference field="4294967294" count="1" selected="0">
            <x v="0"/>
          </reference>
          <reference field="0" count="1" selected="0">
            <x v="0"/>
          </reference>
        </references>
      </pivotArea>
    </chartFormat>
    <chartFormat chart="10" format="21">
      <pivotArea type="data" outline="0" fieldPosition="0">
        <references count="2">
          <reference field="4294967294" count="1" selected="0">
            <x v="0"/>
          </reference>
          <reference field="0" count="1" selected="0">
            <x v="1"/>
          </reference>
        </references>
      </pivotArea>
    </chartFormat>
    <chartFormat chart="10" format="22">
      <pivotArea type="data" outline="0" fieldPosition="0">
        <references count="2">
          <reference field="4294967294" count="1" selected="0">
            <x v="0"/>
          </reference>
          <reference field="0" count="1" selected="0">
            <x v="2"/>
          </reference>
        </references>
      </pivotArea>
    </chartFormat>
    <chartFormat chart="10" format="23">
      <pivotArea type="data" outline="0" fieldPosition="0">
        <references count="2">
          <reference field="4294967294" count="1" selected="0">
            <x v="0"/>
          </reference>
          <reference field="0" count="1" selected="0">
            <x v="3"/>
          </reference>
        </references>
      </pivotArea>
    </chartFormat>
    <chartFormat chart="10" format="24">
      <pivotArea type="data" outline="0" fieldPosition="0">
        <references count="2">
          <reference field="4294967294" count="1" selected="0">
            <x v="0"/>
          </reference>
          <reference field="0" count="1" selected="0">
            <x v="4"/>
          </reference>
        </references>
      </pivotArea>
    </chartFormat>
    <chartFormat chart="11" format="19" series="1">
      <pivotArea type="data" outline="0" fieldPosition="0">
        <references count="1">
          <reference field="4294967294" count="1" selected="0">
            <x v="0"/>
          </reference>
        </references>
      </pivotArea>
    </chartFormat>
    <chartFormat chart="11" format="20">
      <pivotArea type="data" outline="0" fieldPosition="0">
        <references count="2">
          <reference field="4294967294" count="1" selected="0">
            <x v="0"/>
          </reference>
          <reference field="0" count="1" selected="0">
            <x v="0"/>
          </reference>
        </references>
      </pivotArea>
    </chartFormat>
    <chartFormat chart="11" format="21">
      <pivotArea type="data" outline="0" fieldPosition="0">
        <references count="2">
          <reference field="4294967294" count="1" selected="0">
            <x v="0"/>
          </reference>
          <reference field="0" count="1" selected="0">
            <x v="1"/>
          </reference>
        </references>
      </pivotArea>
    </chartFormat>
    <chartFormat chart="11" format="22">
      <pivotArea type="data" outline="0" fieldPosition="0">
        <references count="2">
          <reference field="4294967294" count="1" selected="0">
            <x v="0"/>
          </reference>
          <reference field="0" count="1" selected="0">
            <x v="2"/>
          </reference>
        </references>
      </pivotArea>
    </chartFormat>
    <chartFormat chart="11" format="23">
      <pivotArea type="data" outline="0" fieldPosition="0">
        <references count="2">
          <reference field="4294967294" count="1" selected="0">
            <x v="0"/>
          </reference>
          <reference field="0" count="1" selected="0">
            <x v="3"/>
          </reference>
        </references>
      </pivotArea>
    </chartFormat>
    <chartFormat chart="11" format="24">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016E5D-C75E-4570-843C-44E3896C3B36}" name="PivotTable7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rowHeaderCaption="Service Type">
  <location ref="A23:C28" firstHeaderRow="0" firstDataRow="1" firstDataCol="1"/>
  <pivotFields count="5">
    <pivotField axis="axisRow" showAll="0" sortType="descending" defaultSubtotal="0">
      <items count="5">
        <item x="2"/>
        <item x="4"/>
        <item x="3"/>
        <item x="1"/>
        <item x="0"/>
      </items>
      <autoSortScope>
        <pivotArea dataOnly="0" outline="0" fieldPosition="0">
          <references count="1">
            <reference field="4294967294" count="1" selected="0">
              <x v="0"/>
            </reference>
          </references>
        </pivotArea>
      </autoSortScope>
    </pivotField>
    <pivotField showAll="0" defaultSubtotal="0"/>
    <pivotField showAll="0" defaultSubtotal="0"/>
    <pivotField dataField="1" numFmtId="10" showAll="0" defaultSubtotal="0"/>
    <pivotField dataField="1" numFmtId="10" showAll="0" defaultSubtotal="0"/>
  </pivotFields>
  <rowFields count="1">
    <field x="0"/>
  </rowFields>
  <rowItems count="5">
    <i>
      <x v="1"/>
    </i>
    <i>
      <x/>
    </i>
    <i>
      <x v="4"/>
    </i>
    <i>
      <x v="3"/>
    </i>
    <i>
      <x v="2"/>
    </i>
  </rowItems>
  <colFields count="1">
    <field x="-2"/>
  </colFields>
  <colItems count="2">
    <i>
      <x/>
    </i>
    <i i="1">
      <x v="1"/>
    </i>
  </colItems>
  <dataFields count="2">
    <dataField name=" Retention Rate" fld="4" baseField="0" baseItem="0" numFmtId="10"/>
    <dataField name=" Churn Rate" fld="3" baseField="0" baseItem="0" numFmtId="10"/>
  </dataFields>
  <chartFormats count="4">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66AA7A-55F8-439D-95B7-B47C8B0B2FE2}" name="PivotTable7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0:C26" firstHeaderRow="0" firstDataRow="1" firstDataCol="1"/>
  <pivotFields count="4">
    <pivotField showAll="0">
      <items count="4">
        <item x="0"/>
        <item x="1"/>
        <item x="2"/>
        <item t="default"/>
      </items>
    </pivotField>
    <pivotField axis="axisRow" showAll="0">
      <items count="6">
        <item x="0"/>
        <item x="1"/>
        <item x="2"/>
        <item x="3"/>
        <item x="4"/>
        <item t="default"/>
      </items>
    </pivotField>
    <pivotField dataField="1" showAll="0"/>
    <pivotField dataField="1" showAll="0"/>
  </pivotFields>
  <rowFields count="1">
    <field x="1"/>
  </rowFields>
  <rowItems count="6">
    <i>
      <x/>
    </i>
    <i>
      <x v="1"/>
    </i>
    <i>
      <x v="2"/>
    </i>
    <i>
      <x v="3"/>
    </i>
    <i>
      <x v="4"/>
    </i>
    <i t="grand">
      <x/>
    </i>
  </rowItems>
  <colFields count="1">
    <field x="-2"/>
  </colFields>
  <colItems count="2">
    <i>
      <x/>
    </i>
    <i i="1">
      <x v="1"/>
    </i>
  </colItems>
  <dataFields count="2">
    <dataField name="Total Retained" fld="3" baseField="1" baseItem="0"/>
    <dataField name="Total Churned" fld="2" baseField="1" baseItem="0"/>
  </dataFields>
  <chartFormats count="4">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1B64F7-83E5-4890-89A5-5EF2F747A819}" name="PivotTable73"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rowHeaderCaption="Offer Type">
  <location ref="A11:C17" firstHeaderRow="0" firstDataRow="1" firstDataCol="1"/>
  <pivotFields count="6">
    <pivotField axis="axisRow" showAll="0" sortType="descending" defaultSubtotal="0">
      <items count="6">
        <item x="0"/>
        <item x="3"/>
        <item x="5"/>
        <item x="4"/>
        <item x="2"/>
        <item x="1"/>
      </items>
      <autoSortScope>
        <pivotArea dataOnly="0" outline="0" fieldPosition="0">
          <references count="1">
            <reference field="4294967294" count="1" selected="0">
              <x v="0"/>
            </reference>
          </references>
        </pivotArea>
      </autoSortScope>
    </pivotField>
    <pivotField showAll="0" defaultSubtotal="0"/>
    <pivotField showAll="0" defaultSubtotal="0"/>
    <pivotField showAll="0" defaultSubtotal="0"/>
    <pivotField dataField="1" numFmtId="10" showAll="0" defaultSubtotal="0"/>
    <pivotField dataField="1" numFmtId="10" showAll="0" defaultSubtotal="0"/>
  </pivotFields>
  <rowFields count="1">
    <field x="0"/>
  </rowFields>
  <rowItems count="6">
    <i>
      <x v="1"/>
    </i>
    <i>
      <x v="2"/>
    </i>
    <i>
      <x v="3"/>
    </i>
    <i>
      <x v="4"/>
    </i>
    <i>
      <x/>
    </i>
    <i>
      <x v="5"/>
    </i>
  </rowItems>
  <colFields count="1">
    <field x="-2"/>
  </colFields>
  <colItems count="2">
    <i>
      <x/>
    </i>
    <i i="1">
      <x v="1"/>
    </i>
  </colItems>
  <dataFields count="2">
    <dataField name="Retention Rate" fld="5" baseField="0" baseItem="0" numFmtId="10"/>
    <dataField name="Churn Rate" fld="4" baseField="0" baseItem="0" numFmtId="10"/>
  </dataFields>
  <chartFormats count="4">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9" xr16:uid="{7ECF8F8B-D4BC-42F0-A7CC-7B4C87D332FD}" autoFormatId="16" applyNumberFormats="0" applyBorderFormats="0" applyFontFormats="0" applyPatternFormats="0" applyAlignmentFormats="0" applyWidthHeightFormats="0">
  <queryTableRefresh nextId="5">
    <queryTableFields count="4">
      <queryTableField id="1" name="total_customers" tableColumnId="1"/>
      <queryTableField id="2" name="total_stayed" tableColumnId="2"/>
      <queryTableField id="3" name="total_churned" tableColumnId="3"/>
      <queryTableField id="4" name="total_joined"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7D71D1DC-7433-4683-A567-5607A809876E}" autoFormatId="16" applyNumberFormats="0" applyBorderFormats="0" applyFontFormats="0" applyPatternFormats="0" applyAlignmentFormats="0" applyWidthHeightFormats="0">
  <queryTableRefresh nextId="4">
    <queryTableFields count="3">
      <queryTableField id="1" name="churn_category" tableColumnId="1"/>
      <queryTableField id="2" name="total_churnend" tableColumnId="2"/>
      <queryTableField id="3" name="churn_rate(%)"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2" xr16:uid="{D8E9EA93-2FAD-4424-B2BA-5A08D092E2D0}" autoFormatId="16" applyNumberFormats="0" applyBorderFormats="0" applyFontFormats="0" applyPatternFormats="0" applyAlignmentFormats="0" applyWidthHeightFormats="0">
  <queryTableRefresh nextId="4">
    <queryTableFields count="3">
      <queryTableField id="1" name="churn_category" tableColumnId="1"/>
      <queryTableField id="2" name="churn_reason" tableColumnId="2"/>
      <queryTableField id="3" name="total_churned"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3" xr16:uid="{6EF77ACD-0918-4BC6-AD53-6572578B6818}" autoFormatId="16" applyNumberFormats="0" applyBorderFormats="0" applyFontFormats="0" applyPatternFormats="0" applyAlignmentFormats="0" applyWidthHeightFormats="0">
  <queryTableRefresh nextId="7" unboundColumnsRight="1">
    <queryTableFields count="6">
      <queryTableField id="1" name="city" tableColumnId="1"/>
      <queryTableField id="2" name="total_churned" tableColumnId="2"/>
      <queryTableField id="3" name="top_reason" tableColumnId="3"/>
      <queryTableField id="4" name="toal_churned_for_top_reason" tableColumnId="4"/>
      <queryTableField id="5" name="churn_rate" tableColumnId="5"/>
      <queryTableField id="6" dataBound="0"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headers="0" connectionId="8" xr16:uid="{809979C0-CDB4-420A-AA82-11BFF143418C}" autoFormatId="16" applyNumberFormats="0" applyBorderFormats="0" applyFontFormats="0" applyPatternFormats="0" applyAlignmentFormats="0" applyWidthHeightFormats="0">
  <queryTableRefresh headersInLastRefresh="0" nextId="6" unboundColumnsRight="1">
    <queryTableFields count="5">
      <queryTableField id="1" name="Column1" tableColumnId="1"/>
      <queryTableField id="2" name="Column2" tableColumnId="2"/>
      <queryTableField id="3" name="Column3" tableColumnId="3"/>
      <queryTableField id="4" name="Column4" tableColumnId="4"/>
      <queryTableField id="5" dataBound="0" tableColumnId="5"/>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3" connectionId="4" xr16:uid="{987A4306-DDD5-4D5B-A03E-70A11B74EE8F}" autoFormatId="16" applyNumberFormats="0" applyBorderFormats="0" applyFontFormats="0" applyPatternFormats="0" applyAlignmentFormats="0" applyWidthHeightFormats="0">
  <queryTableRefresh nextId="5">
    <queryTableFields count="4">
      <queryTableField id="1" name="contract_type" tableColumnId="1"/>
      <queryTableField id="2" name="tenure_group" tableColumnId="2"/>
      <queryTableField id="3" name="churned" tableColumnId="3"/>
      <queryTableField id="4" name="retained" tableColumnId="4"/>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2" connectionId="5" xr16:uid="{8D3F21FC-301F-4755-8614-79838A03A401}" autoFormatId="16" applyNumberFormats="0" applyBorderFormats="0" applyFontFormats="0" applyPatternFormats="0" applyAlignmentFormats="0" applyWidthHeightFormats="0">
  <queryTableRefresh nextId="7">
    <queryTableFields count="6">
      <queryTableField id="1" name="offer" tableColumnId="1"/>
      <queryTableField id="2" name="total_used" tableColumnId="2"/>
      <queryTableField id="3" name="churned" tableColumnId="3"/>
      <queryTableField id="4" name="retained" tableColumnId="4"/>
      <queryTableField id="5" name="churn_rate" tableColumnId="5"/>
      <queryTableField id="6" name="retain_rate"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_type" xr10:uid="{90F9DB7B-828E-4070-80A2-B00F01326707}" sourceName="contract_type">
  <pivotTables>
    <pivotTable tabId="11" name="PivotTable75"/>
  </pivotTables>
  <data>
    <tabular pivotCacheId="49951501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ract_type" xr10:uid="{06D044E1-2FE2-4ADA-9C11-638255BE16CB}" cache="Slicer_contract_type" caption="contract_type"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1D8A37-6A14-4935-BF43-E5A50C23651C}" name="Q3_Customer_Stats" displayName="Q3_Customer_Stats" ref="A1:D2" tableType="queryTable" totalsRowShown="0">
  <autoFilter ref="A1:D2" xr:uid="{E31D8A37-6A14-4935-BF43-E5A50C23651C}"/>
  <tableColumns count="4">
    <tableColumn id="1" xr3:uid="{52FA2EB9-7F73-4C1F-BBD4-90D44FEE5D97}" uniqueName="1" name="total_customers" queryTableFieldId="1"/>
    <tableColumn id="2" xr3:uid="{A5BD344F-36F1-40AB-B28E-8E5DB25B475F}" uniqueName="2" name="total_stayed" queryTableFieldId="2"/>
    <tableColumn id="3" xr3:uid="{371CB809-094A-434F-BE23-94E36180C1CE}" uniqueName="3" name="total_churned" queryTableFieldId="3"/>
    <tableColumn id="4" xr3:uid="{CF325588-648A-4290-AFA4-630D1BA45038}" uniqueName="4" name="total_joined" queryTableFieldId="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41867FD-506C-4539-A4A3-D9FE8C9B8218}" name="Churn_Category_Analysis" displayName="Churn_Category_Analysis" ref="A1:C6" tableType="queryTable" totalsRowShown="0">
  <autoFilter ref="A1:C6" xr:uid="{D41867FD-506C-4539-A4A3-D9FE8C9B8218}"/>
  <tableColumns count="3">
    <tableColumn id="1" xr3:uid="{A3AFBB04-0F8B-498B-B6FF-0044B0F0A698}" uniqueName="1" name="churn_category" queryTableFieldId="1" dataDxfId="13"/>
    <tableColumn id="2" xr3:uid="{AAC92923-A6E3-416D-9604-05736F2D4293}" uniqueName="2" name="total_churnend" queryTableFieldId="2"/>
    <tableColumn id="3" xr3:uid="{9A9CF3AE-A624-4DB4-919E-CF854EDA5A1B}" uniqueName="3" name="churn_rate(%)" queryTableFieldId="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455C7AE-05C7-43E7-BDC3-57D15FD53659}" name="Churn_Reason_Analysis" displayName="Churn_Reason_Analysis" ref="A1:C14" tableType="queryTable" totalsRowShown="0">
  <autoFilter ref="A1:C14" xr:uid="{7455C7AE-05C7-43E7-BDC3-57D15FD53659}"/>
  <sortState xmlns:xlrd2="http://schemas.microsoft.com/office/spreadsheetml/2017/richdata2" ref="A2:C14">
    <sortCondition ref="A2:A14" customList="Dissatisfaction,Attitude,Competitor"/>
    <sortCondition ref="C2:C14"/>
  </sortState>
  <tableColumns count="3">
    <tableColumn id="1" xr3:uid="{A5B92AF2-7E5E-43E4-9610-B7DF959E0380}" uniqueName="1" name="churn_category" queryTableFieldId="1" dataDxfId="12"/>
    <tableColumn id="2" xr3:uid="{C81E57DB-F6D9-4B5D-89C2-982C03491A7A}" uniqueName="2" name="churn_reason" queryTableFieldId="2" dataDxfId="11"/>
    <tableColumn id="3" xr3:uid="{0E2C1769-6C94-4E18-BA51-42B244CFFFCA}" uniqueName="3" name="total_churned" queryTableFieldId="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792FD78-1CB8-4AC3-A039-DE414877C95F}" name="City_Churn_Analysis" displayName="City_Churn_Analysis" ref="A1:F11" tableType="queryTable" totalsRowShown="0">
  <autoFilter ref="A1:F11" xr:uid="{3792FD78-1CB8-4AC3-A039-DE414877C95F}"/>
  <sortState xmlns:xlrd2="http://schemas.microsoft.com/office/spreadsheetml/2017/richdata2" ref="A2:F11">
    <sortCondition ref="B1:B11"/>
  </sortState>
  <tableColumns count="6">
    <tableColumn id="1" xr3:uid="{FA353BD3-3D32-4962-A0D0-68C563E6CB03}" uniqueName="1" name="city" queryTableFieldId="1" dataDxfId="10"/>
    <tableColumn id="2" xr3:uid="{6A3E1222-B0B1-4101-90A0-16566DB129D3}" uniqueName="2" name="total_churned" queryTableFieldId="2"/>
    <tableColumn id="3" xr3:uid="{DBD06149-8193-4114-B21D-5CE3269C7A79}" uniqueName="3" name="top_reason" queryTableFieldId="3" dataDxfId="9"/>
    <tableColumn id="4" xr3:uid="{41E1FFB8-E255-433F-B0B4-87E6903E078F}" uniqueName="4" name="toal_churned_for_top_reason" queryTableFieldId="4"/>
    <tableColumn id="5" xr3:uid="{EBA27A74-01BE-4BB4-BEAF-3EA8B098E716}" uniqueName="5" name="churn_rate" queryTableFieldId="5"/>
    <tableColumn id="6" xr3:uid="{C48E85BD-1F91-4DB0-A37A-E8E43F81A276}" uniqueName="6" name="Column1" queryTableFieldId="6" dataDxfId="8">
      <calculatedColumnFormula>C2 &amp; " (" &amp; E2 &amp; "%)"</calculatedColumnFormula>
    </tableColumn>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5EF4CE6-4126-4CF3-9E33-E546B7B5ED8A}" name="Phone_Internet_Churn_Analysis__3" displayName="Phone_Internet_Churn_Analysis__3" ref="A1:E19" tableType="queryTable" headerRowCount="0" totalsRowShown="0">
  <tableColumns count="5">
    <tableColumn id="1" xr3:uid="{4F7E8BA1-3720-4174-99D2-C0FA73C8AC17}" uniqueName="1" name="Column1" queryTableFieldId="1" dataDxfId="7"/>
    <tableColumn id="2" xr3:uid="{692AD2AC-A811-4A0B-A81D-672325B17031}" uniqueName="2" name="Column2" queryTableFieldId="2" dataDxfId="6"/>
    <tableColumn id="3" xr3:uid="{2C86BC47-521A-4AF9-9BC9-A8BD946EF61E}" uniqueName="3" name="Column3" queryTableFieldId="3" dataDxfId="5"/>
    <tableColumn id="4" xr3:uid="{B8E95738-0C3E-46B3-9E64-474DAB41E8B2}" uniqueName="4" name="Column4" queryTableFieldId="4" dataDxfId="4"/>
    <tableColumn id="5" xr3:uid="{75618522-16B5-417F-B3D5-448991451C6D}" uniqueName="5" name="Column5" queryTableFieldId="5" dataDxfId="3"/>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CA12FD1-A528-4962-AE64-C97CE940930B}" name="Contract_Tenure_Churn_Analysis" displayName="Contract_Tenure_Churn_Analysis" ref="A1:D16" tableType="queryTable" totalsRowShown="0">
  <autoFilter ref="A1:D16" xr:uid="{4CA12FD1-A528-4962-AE64-C97CE940930B}"/>
  <tableColumns count="4">
    <tableColumn id="1" xr3:uid="{4ED961C2-1E7C-493F-AB90-FB4040C194C6}" uniqueName="1" name="contract_type" queryTableFieldId="1" dataDxfId="2"/>
    <tableColumn id="2" xr3:uid="{895AFCA3-8BC2-4843-8AB3-15D9E3534885}" uniqueName="2" name="tenure_group" queryTableFieldId="2" dataDxfId="1"/>
    <tableColumn id="3" xr3:uid="{47A52BB2-AB80-4ADE-88F4-9E37CE39CE07}" uniqueName="3" name="churned" queryTableFieldId="3"/>
    <tableColumn id="4" xr3:uid="{F2861BB0-174E-476E-A6F5-D2D7CDD86EA9}" uniqueName="4" name="retained" queryTableFieldId="4"/>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D46C708-82B5-4BF8-8868-29A13723CEF5}" name="Offer_Churn_Analysis" displayName="Offer_Churn_Analysis" ref="A1:F7" tableType="queryTable" totalsRowShown="0">
  <autoFilter ref="A1:F7" xr:uid="{9D46C708-82B5-4BF8-8868-29A13723CEF5}"/>
  <tableColumns count="6">
    <tableColumn id="1" xr3:uid="{45B6DA79-8EB4-456F-A8AD-6F20E94E54BC}" uniqueName="1" name="offer" queryTableFieldId="1" dataDxfId="0"/>
    <tableColumn id="2" xr3:uid="{2F216D08-3BCA-4F09-9618-B30E3B90CCA1}" uniqueName="2" name="total_used" queryTableFieldId="2"/>
    <tableColumn id="3" xr3:uid="{BEF00728-D47E-4D84-A012-0EC3AB80FDA1}" uniqueName="3" name="churned" queryTableFieldId="3"/>
    <tableColumn id="4" xr3:uid="{366AB279-72FC-4379-9A5B-0F719E8EFDA7}" uniqueName="4" name="retained" queryTableFieldId="4"/>
    <tableColumn id="5" xr3:uid="{35A8FFFC-B160-4716-B0A4-B697080AF6F0}" uniqueName="5" name="churn_rate" queryTableFieldId="5"/>
    <tableColumn id="6" xr3:uid="{FFD746F2-2262-43DD-871C-19C12057EA9F}" uniqueName="6" name="retain_rate" queryTableField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AE411-FD28-4B40-85EF-2583427DB1E3}">
  <dimension ref="A1:D2"/>
  <sheetViews>
    <sheetView workbookViewId="0">
      <selection activeCell="G28" sqref="G28"/>
    </sheetView>
  </sheetViews>
  <sheetFormatPr defaultRowHeight="15" x14ac:dyDescent="0.25"/>
  <cols>
    <col min="1" max="1" width="18" bestFit="1" customWidth="1"/>
    <col min="2" max="2" width="14.28515625" bestFit="1" customWidth="1"/>
    <col min="3" max="3" width="15.85546875" bestFit="1" customWidth="1"/>
    <col min="4" max="4" width="14" bestFit="1" customWidth="1"/>
  </cols>
  <sheetData>
    <row r="1" spans="1:4" x14ac:dyDescent="0.25">
      <c r="A1" t="s">
        <v>0</v>
      </c>
      <c r="B1" t="s">
        <v>1</v>
      </c>
      <c r="C1" t="s">
        <v>2</v>
      </c>
      <c r="D1" t="s">
        <v>3</v>
      </c>
    </row>
    <row r="2" spans="1:4" x14ac:dyDescent="0.25">
      <c r="A2">
        <v>7043</v>
      </c>
      <c r="B2">
        <v>4720</v>
      </c>
      <c r="C2">
        <v>1869</v>
      </c>
      <c r="D2">
        <v>454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868A4-A5DC-45E8-8864-6B4CE1FC9355}">
  <dimension ref="A1:C15"/>
  <sheetViews>
    <sheetView workbookViewId="0">
      <selection activeCell="R24" sqref="R24"/>
    </sheetView>
  </sheetViews>
  <sheetFormatPr defaultRowHeight="15" x14ac:dyDescent="0.25"/>
  <cols>
    <col min="1" max="1" width="17.5703125" bestFit="1" customWidth="1"/>
    <col min="2" max="2" width="17" bestFit="1" customWidth="1"/>
    <col min="3" max="3" width="16" bestFit="1" customWidth="1"/>
  </cols>
  <sheetData>
    <row r="1" spans="1:3" x14ac:dyDescent="0.25">
      <c r="A1" t="s">
        <v>4</v>
      </c>
      <c r="B1" t="s">
        <v>5</v>
      </c>
      <c r="C1" s="1" t="s">
        <v>6</v>
      </c>
    </row>
    <row r="2" spans="1:3" x14ac:dyDescent="0.25">
      <c r="A2" t="s">
        <v>7</v>
      </c>
      <c r="B2">
        <v>841</v>
      </c>
      <c r="C2">
        <v>45</v>
      </c>
    </row>
    <row r="3" spans="1:3" x14ac:dyDescent="0.25">
      <c r="A3" t="s">
        <v>8</v>
      </c>
      <c r="B3">
        <v>314</v>
      </c>
      <c r="C3">
        <v>16.8</v>
      </c>
    </row>
    <row r="4" spans="1:3" x14ac:dyDescent="0.25">
      <c r="A4" t="s">
        <v>9</v>
      </c>
      <c r="B4">
        <v>303</v>
      </c>
      <c r="C4">
        <v>16.21</v>
      </c>
    </row>
    <row r="5" spans="1:3" x14ac:dyDescent="0.25">
      <c r="A5" t="s">
        <v>10</v>
      </c>
      <c r="B5">
        <v>211</v>
      </c>
      <c r="C5">
        <v>11.29</v>
      </c>
    </row>
    <row r="6" spans="1:3" x14ac:dyDescent="0.25">
      <c r="A6" t="s">
        <v>11</v>
      </c>
      <c r="B6">
        <v>200</v>
      </c>
      <c r="C6">
        <v>10.7</v>
      </c>
    </row>
    <row r="10" spans="1:3" x14ac:dyDescent="0.25">
      <c r="A10" s="2" t="s">
        <v>14</v>
      </c>
      <c r="B10" t="s">
        <v>15</v>
      </c>
    </row>
    <row r="11" spans="1:3" x14ac:dyDescent="0.25">
      <c r="A11" s="3" t="s">
        <v>7</v>
      </c>
      <c r="B11">
        <v>45</v>
      </c>
    </row>
    <row r="12" spans="1:3" x14ac:dyDescent="0.25">
      <c r="A12" s="3" t="s">
        <v>8</v>
      </c>
      <c r="B12">
        <v>16.8</v>
      </c>
    </row>
    <row r="13" spans="1:3" x14ac:dyDescent="0.25">
      <c r="A13" s="3" t="s">
        <v>9</v>
      </c>
      <c r="B13">
        <v>16.21</v>
      </c>
    </row>
    <row r="14" spans="1:3" x14ac:dyDescent="0.25">
      <c r="A14" s="3" t="s">
        <v>11</v>
      </c>
      <c r="B14">
        <v>10.7</v>
      </c>
    </row>
    <row r="15" spans="1:3" x14ac:dyDescent="0.25">
      <c r="A15" s="3" t="s">
        <v>10</v>
      </c>
      <c r="B15">
        <v>11.29</v>
      </c>
    </row>
  </sheetData>
  <pageMargins left="0.7" right="0.7" top="0.75" bottom="0.75" header="0.3" footer="0.3"/>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4D6E3-2449-4ECE-B8C1-C4CB33C5254C}">
  <dimension ref="A1:C14"/>
  <sheetViews>
    <sheetView workbookViewId="0">
      <selection activeCell="D53" sqref="D53"/>
    </sheetView>
  </sheetViews>
  <sheetFormatPr defaultRowHeight="15" x14ac:dyDescent="0.25"/>
  <cols>
    <col min="1" max="1" width="17.140625" bestFit="1" customWidth="1"/>
    <col min="2" max="2" width="40.28515625" bestFit="1" customWidth="1"/>
    <col min="3" max="3" width="15.85546875" bestFit="1" customWidth="1"/>
  </cols>
  <sheetData>
    <row r="1" spans="1:3" x14ac:dyDescent="0.25">
      <c r="A1" t="s">
        <v>4</v>
      </c>
      <c r="B1" t="s">
        <v>16</v>
      </c>
      <c r="C1" t="s">
        <v>2</v>
      </c>
    </row>
    <row r="2" spans="1:3" x14ac:dyDescent="0.25">
      <c r="A2" t="s">
        <v>9</v>
      </c>
      <c r="B2" t="s">
        <v>29</v>
      </c>
      <c r="C2">
        <v>12</v>
      </c>
    </row>
    <row r="3" spans="1:3" x14ac:dyDescent="0.25">
      <c r="A3" t="s">
        <v>9</v>
      </c>
      <c r="B3" t="s">
        <v>28</v>
      </c>
      <c r="C3">
        <v>13</v>
      </c>
    </row>
    <row r="4" spans="1:3" x14ac:dyDescent="0.25">
      <c r="A4" t="s">
        <v>9</v>
      </c>
      <c r="B4" t="s">
        <v>27</v>
      </c>
      <c r="C4">
        <v>29</v>
      </c>
    </row>
    <row r="5" spans="1:3" x14ac:dyDescent="0.25">
      <c r="A5" t="s">
        <v>9</v>
      </c>
      <c r="B5" t="s">
        <v>26</v>
      </c>
      <c r="C5">
        <v>37</v>
      </c>
    </row>
    <row r="6" spans="1:3" x14ac:dyDescent="0.25">
      <c r="A6" t="s">
        <v>9</v>
      </c>
      <c r="B6" t="s">
        <v>25</v>
      </c>
      <c r="C6">
        <v>63</v>
      </c>
    </row>
    <row r="7" spans="1:3" x14ac:dyDescent="0.25">
      <c r="A7" t="s">
        <v>9</v>
      </c>
      <c r="B7" t="s">
        <v>24</v>
      </c>
      <c r="C7">
        <v>72</v>
      </c>
    </row>
    <row r="8" spans="1:3" x14ac:dyDescent="0.25">
      <c r="A8" t="s">
        <v>9</v>
      </c>
      <c r="B8" t="s">
        <v>23</v>
      </c>
      <c r="C8">
        <v>77</v>
      </c>
    </row>
    <row r="9" spans="1:3" x14ac:dyDescent="0.25">
      <c r="A9" t="s">
        <v>8</v>
      </c>
      <c r="B9" t="s">
        <v>18</v>
      </c>
      <c r="C9">
        <v>94</v>
      </c>
    </row>
    <row r="10" spans="1:3" x14ac:dyDescent="0.25">
      <c r="A10" t="s">
        <v>8</v>
      </c>
      <c r="B10" t="s">
        <v>17</v>
      </c>
      <c r="C10">
        <v>220</v>
      </c>
    </row>
    <row r="11" spans="1:3" x14ac:dyDescent="0.25">
      <c r="A11" t="s">
        <v>7</v>
      </c>
      <c r="B11" t="s">
        <v>22</v>
      </c>
      <c r="C11">
        <v>100</v>
      </c>
    </row>
    <row r="12" spans="1:3" x14ac:dyDescent="0.25">
      <c r="A12" t="s">
        <v>7</v>
      </c>
      <c r="B12" t="s">
        <v>21</v>
      </c>
      <c r="C12">
        <v>117</v>
      </c>
    </row>
    <row r="13" spans="1:3" x14ac:dyDescent="0.25">
      <c r="A13" t="s">
        <v>7</v>
      </c>
      <c r="B13" t="s">
        <v>20</v>
      </c>
      <c r="C13">
        <v>311</v>
      </c>
    </row>
    <row r="14" spans="1:3" x14ac:dyDescent="0.25">
      <c r="A14" t="s">
        <v>7</v>
      </c>
      <c r="B14" t="s">
        <v>19</v>
      </c>
      <c r="C14">
        <v>313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E186B-5159-411E-B7B2-6EC4314AA96B}">
  <dimension ref="A1:F11"/>
  <sheetViews>
    <sheetView workbookViewId="0">
      <selection activeCell="N24" sqref="N24"/>
    </sheetView>
  </sheetViews>
  <sheetFormatPr defaultRowHeight="15" x14ac:dyDescent="0.25"/>
  <cols>
    <col min="1" max="1" width="13.5703125" bestFit="1" customWidth="1"/>
    <col min="2" max="2" width="15.85546875" bestFit="1" customWidth="1"/>
    <col min="3" max="3" width="27.5703125" bestFit="1" customWidth="1"/>
    <col min="4" max="4" width="29.85546875" bestFit="1" customWidth="1"/>
    <col min="5" max="5" width="12.85546875" bestFit="1" customWidth="1"/>
    <col min="6" max="6" width="34.85546875" bestFit="1" customWidth="1"/>
    <col min="7" max="11" width="5" bestFit="1" customWidth="1"/>
    <col min="12" max="12" width="9.28515625" bestFit="1" customWidth="1"/>
    <col min="14" max="14" width="11.140625" bestFit="1" customWidth="1"/>
    <col min="15" max="16" width="11.7109375" bestFit="1" customWidth="1"/>
    <col min="17" max="17" width="10" bestFit="1" customWidth="1"/>
    <col min="18" max="18" width="13.42578125" bestFit="1" customWidth="1"/>
    <col min="19" max="19" width="8.7109375" bestFit="1" customWidth="1"/>
    <col min="20" max="20" width="9.7109375" bestFit="1" customWidth="1"/>
  </cols>
  <sheetData>
    <row r="1" spans="1:6" x14ac:dyDescent="0.25">
      <c r="A1" t="s">
        <v>31</v>
      </c>
      <c r="B1" t="s">
        <v>2</v>
      </c>
      <c r="C1" t="s">
        <v>32</v>
      </c>
      <c r="D1" t="s">
        <v>33</v>
      </c>
      <c r="E1" t="s">
        <v>34</v>
      </c>
      <c r="F1" t="s">
        <v>46</v>
      </c>
    </row>
    <row r="2" spans="1:6" x14ac:dyDescent="0.25">
      <c r="A2" t="s">
        <v>45</v>
      </c>
      <c r="B2">
        <v>13</v>
      </c>
      <c r="C2" t="s">
        <v>17</v>
      </c>
      <c r="D2">
        <v>4</v>
      </c>
      <c r="E2">
        <v>30.8</v>
      </c>
      <c r="F2" t="str">
        <f t="shared" ref="F2:F11" si="0">C2 &amp; " (" &amp; E2 &amp; "%)"</f>
        <v>Attitude of support person (30.8%)</v>
      </c>
    </row>
    <row r="3" spans="1:6" x14ac:dyDescent="0.25">
      <c r="A3" t="s">
        <v>43</v>
      </c>
      <c r="B3">
        <v>15</v>
      </c>
      <c r="C3" t="s">
        <v>44</v>
      </c>
      <c r="D3">
        <v>3</v>
      </c>
      <c r="E3">
        <v>20</v>
      </c>
      <c r="F3" t="str">
        <f t="shared" si="0"/>
        <v>Moved (20%)</v>
      </c>
    </row>
    <row r="4" spans="1:6" x14ac:dyDescent="0.25">
      <c r="A4" t="s">
        <v>42</v>
      </c>
      <c r="B4">
        <v>16</v>
      </c>
      <c r="C4" t="s">
        <v>20</v>
      </c>
      <c r="D4">
        <v>14</v>
      </c>
      <c r="E4">
        <v>87.5</v>
      </c>
      <c r="F4" t="str">
        <f t="shared" si="0"/>
        <v>Competitor made better offer (87.5%)</v>
      </c>
    </row>
    <row r="5" spans="1:6" x14ac:dyDescent="0.25">
      <c r="A5" t="s">
        <v>41</v>
      </c>
      <c r="B5">
        <v>22</v>
      </c>
      <c r="C5" t="s">
        <v>20</v>
      </c>
      <c r="D5">
        <v>17</v>
      </c>
      <c r="E5">
        <v>77.3</v>
      </c>
      <c r="F5" t="str">
        <f t="shared" si="0"/>
        <v>Competitor made better offer (77.3%)</v>
      </c>
    </row>
    <row r="6" spans="1:6" x14ac:dyDescent="0.25">
      <c r="A6" t="s">
        <v>39</v>
      </c>
      <c r="B6">
        <v>26</v>
      </c>
      <c r="C6" t="s">
        <v>20</v>
      </c>
      <c r="D6">
        <v>23</v>
      </c>
      <c r="E6">
        <v>88.5</v>
      </c>
      <c r="F6" t="str">
        <f t="shared" si="0"/>
        <v>Competitor made better offer (88.5%)</v>
      </c>
    </row>
    <row r="7" spans="1:6" x14ac:dyDescent="0.25">
      <c r="A7" t="s">
        <v>40</v>
      </c>
      <c r="B7">
        <v>26</v>
      </c>
      <c r="C7" t="s">
        <v>19</v>
      </c>
      <c r="D7">
        <v>6</v>
      </c>
      <c r="E7">
        <v>23.1</v>
      </c>
      <c r="F7" t="str">
        <f t="shared" si="0"/>
        <v>Competitor had better devices (23.1%)</v>
      </c>
    </row>
    <row r="8" spans="1:6" x14ac:dyDescent="0.25">
      <c r="A8" t="s">
        <v>38</v>
      </c>
      <c r="B8">
        <v>29</v>
      </c>
      <c r="C8" t="s">
        <v>19</v>
      </c>
      <c r="D8">
        <v>7</v>
      </c>
      <c r="E8">
        <v>24.1</v>
      </c>
      <c r="F8" t="str">
        <f t="shared" si="0"/>
        <v>Competitor had better devices (24.1%)</v>
      </c>
    </row>
    <row r="9" spans="1:6" x14ac:dyDescent="0.25">
      <c r="A9" t="s">
        <v>37</v>
      </c>
      <c r="B9">
        <v>31</v>
      </c>
      <c r="C9" t="s">
        <v>19</v>
      </c>
      <c r="D9">
        <v>6</v>
      </c>
      <c r="E9">
        <v>19.399999999999999</v>
      </c>
      <c r="F9" t="str">
        <f t="shared" si="0"/>
        <v>Competitor had better devices (19.4%)</v>
      </c>
    </row>
    <row r="10" spans="1:6" x14ac:dyDescent="0.25">
      <c r="A10" t="s">
        <v>36</v>
      </c>
      <c r="B10">
        <v>78</v>
      </c>
      <c r="C10" t="s">
        <v>19</v>
      </c>
      <c r="D10">
        <v>15</v>
      </c>
      <c r="E10">
        <v>19.2</v>
      </c>
      <c r="F10" t="str">
        <f t="shared" si="0"/>
        <v>Competitor had better devices (19.2%)</v>
      </c>
    </row>
    <row r="11" spans="1:6" x14ac:dyDescent="0.25">
      <c r="A11" t="s">
        <v>35</v>
      </c>
      <c r="B11">
        <v>185</v>
      </c>
      <c r="C11" t="s">
        <v>20</v>
      </c>
      <c r="D11">
        <v>146</v>
      </c>
      <c r="E11">
        <v>78.900000000000006</v>
      </c>
      <c r="F11" t="str">
        <f t="shared" si="0"/>
        <v>Competitor made better offer (78.9%)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1F57A-99B0-410D-B057-BC7D8E49CEB4}">
  <dimension ref="A1:E28"/>
  <sheetViews>
    <sheetView workbookViewId="0">
      <selection activeCell="Q28" sqref="Q28"/>
    </sheetView>
  </sheetViews>
  <sheetFormatPr defaultRowHeight="15" x14ac:dyDescent="0.25"/>
  <cols>
    <col min="1" max="1" width="18" bestFit="1" customWidth="1"/>
    <col min="2" max="2" width="15.140625" bestFit="1" customWidth="1"/>
    <col min="3" max="4" width="11.5703125" bestFit="1" customWidth="1"/>
    <col min="5" max="5" width="14.7109375" bestFit="1" customWidth="1"/>
  </cols>
  <sheetData>
    <row r="1" spans="1:5" x14ac:dyDescent="0.25">
      <c r="A1" t="s">
        <v>47</v>
      </c>
      <c r="B1" t="s">
        <v>48</v>
      </c>
      <c r="C1" t="s">
        <v>2</v>
      </c>
      <c r="D1" t="s">
        <v>1</v>
      </c>
    </row>
    <row r="2" spans="1:5" x14ac:dyDescent="0.25">
      <c r="A2" t="s">
        <v>49</v>
      </c>
      <c r="B2" t="s">
        <v>50</v>
      </c>
      <c r="C2" t="s">
        <v>51</v>
      </c>
      <c r="D2" t="s">
        <v>63</v>
      </c>
    </row>
    <row r="3" spans="1:5" x14ac:dyDescent="0.25">
      <c r="A3" t="s">
        <v>49</v>
      </c>
      <c r="B3" t="s">
        <v>49</v>
      </c>
      <c r="C3" t="s">
        <v>52</v>
      </c>
      <c r="D3" t="s">
        <v>64</v>
      </c>
    </row>
    <row r="4" spans="1:5" x14ac:dyDescent="0.25">
      <c r="A4" s="4" t="s">
        <v>53</v>
      </c>
      <c r="B4" s="4" t="s">
        <v>53</v>
      </c>
      <c r="C4" s="4" t="s">
        <v>53</v>
      </c>
      <c r="D4" s="4" t="s">
        <v>53</v>
      </c>
    </row>
    <row r="5" spans="1:5" x14ac:dyDescent="0.25">
      <c r="A5" s="4" t="s">
        <v>53</v>
      </c>
      <c r="B5" s="4" t="s">
        <v>53</v>
      </c>
      <c r="C5" s="4" t="s">
        <v>53</v>
      </c>
      <c r="D5" s="4" t="s">
        <v>53</v>
      </c>
    </row>
    <row r="6" spans="1:5" x14ac:dyDescent="0.25">
      <c r="A6" s="4" t="s">
        <v>53</v>
      </c>
      <c r="B6" s="4" t="s">
        <v>53</v>
      </c>
      <c r="C6" s="4" t="s">
        <v>53</v>
      </c>
      <c r="D6" s="4" t="s">
        <v>53</v>
      </c>
    </row>
    <row r="7" spans="1:5" x14ac:dyDescent="0.25">
      <c r="A7" t="s">
        <v>54</v>
      </c>
      <c r="B7" t="s">
        <v>55</v>
      </c>
      <c r="C7" t="s">
        <v>2</v>
      </c>
      <c r="D7" t="s">
        <v>1</v>
      </c>
    </row>
    <row r="8" spans="1:5" x14ac:dyDescent="0.25">
      <c r="A8" t="s">
        <v>49</v>
      </c>
      <c r="B8" t="s">
        <v>60</v>
      </c>
      <c r="C8" t="s">
        <v>61</v>
      </c>
      <c r="D8" t="s">
        <v>65</v>
      </c>
    </row>
    <row r="9" spans="1:5" x14ac:dyDescent="0.25">
      <c r="A9" t="s">
        <v>49</v>
      </c>
      <c r="B9" t="s">
        <v>56</v>
      </c>
      <c r="C9" t="s">
        <v>57</v>
      </c>
      <c r="D9" t="s">
        <v>66</v>
      </c>
    </row>
    <row r="10" spans="1:5" x14ac:dyDescent="0.25">
      <c r="A10" t="s">
        <v>49</v>
      </c>
      <c r="B10" t="s">
        <v>58</v>
      </c>
      <c r="C10" t="s">
        <v>59</v>
      </c>
      <c r="D10" t="s">
        <v>67</v>
      </c>
    </row>
    <row r="11" spans="1:5" x14ac:dyDescent="0.25">
      <c r="A11" s="4" t="s">
        <v>53</v>
      </c>
      <c r="B11" s="4" t="s">
        <v>53</v>
      </c>
      <c r="C11" s="4" t="s">
        <v>53</v>
      </c>
      <c r="D11" s="4" t="s">
        <v>53</v>
      </c>
    </row>
    <row r="12" spans="1:5" x14ac:dyDescent="0.25">
      <c r="A12" s="4" t="s">
        <v>53</v>
      </c>
      <c r="B12" s="4" t="s">
        <v>53</v>
      </c>
      <c r="C12" s="4" t="s">
        <v>53</v>
      </c>
      <c r="D12" s="4" t="s">
        <v>53</v>
      </c>
    </row>
    <row r="13" spans="1:5" x14ac:dyDescent="0.25">
      <c r="A13" s="4" t="s">
        <v>53</v>
      </c>
      <c r="B13" s="4" t="s">
        <v>53</v>
      </c>
      <c r="C13" s="4" t="s">
        <v>53</v>
      </c>
      <c r="D13" s="4" t="s">
        <v>53</v>
      </c>
    </row>
    <row r="14" spans="1:5" x14ac:dyDescent="0.25">
      <c r="A14" s="5" t="s">
        <v>62</v>
      </c>
      <c r="B14" s="5" t="s">
        <v>2</v>
      </c>
      <c r="C14" s="5" t="s">
        <v>1</v>
      </c>
      <c r="D14" s="5" t="s">
        <v>73</v>
      </c>
      <c r="E14" s="5" t="s">
        <v>74</v>
      </c>
    </row>
    <row r="15" spans="1:5" x14ac:dyDescent="0.25">
      <c r="A15" t="s">
        <v>68</v>
      </c>
      <c r="B15" t="s">
        <v>51</v>
      </c>
      <c r="C15" t="s">
        <v>63</v>
      </c>
      <c r="D15" s="1">
        <f>Phone_Internet_Churn_Analysis__3[[#This Row],[Column2]]/(Phone_Internet_Churn_Analysis__3[[#This Row],[Column2]]+Phone_Internet_Churn_Analysis__3[[#This Row],[Column3]])</f>
        <v>0.28121894667108316</v>
      </c>
      <c r="E15" s="1">
        <f>Phone_Internet_Churn_Analysis__3[[#This Row],[Column3]]/(Phone_Internet_Churn_Analysis__3[[#This Row],[Column2]]+Phone_Internet_Churn_Analysis__3[[#This Row],[Column3]])</f>
        <v>0.71878105332891684</v>
      </c>
    </row>
    <row r="16" spans="1:5" x14ac:dyDescent="0.25">
      <c r="A16" t="s">
        <v>69</v>
      </c>
      <c r="B16" t="s">
        <v>52</v>
      </c>
      <c r="C16" t="s">
        <v>64</v>
      </c>
      <c r="D16" s="1">
        <f>Phone_Internet_Churn_Analysis__3[[#This Row],[Column2]]/(Phone_Internet_Churn_Analysis__3[[#This Row],[Column2]]+Phone_Internet_Churn_Analysis__3[[#This Row],[Column3]])</f>
        <v>0.29049897470950103</v>
      </c>
      <c r="E16" s="1">
        <f>Phone_Internet_Churn_Analysis__3[[#This Row],[Column3]]/(Phone_Internet_Churn_Analysis__3[[#This Row],[Column2]]+Phone_Internet_Churn_Analysis__3[[#This Row],[Column3]])</f>
        <v>0.70950102529049897</v>
      </c>
    </row>
    <row r="17" spans="1:5" x14ac:dyDescent="0.25">
      <c r="A17" t="s">
        <v>70</v>
      </c>
      <c r="B17" t="s">
        <v>61</v>
      </c>
      <c r="C17" t="s">
        <v>65</v>
      </c>
      <c r="D17" s="1">
        <f>Phone_Internet_Churn_Analysis__3[[#This Row],[Column2]]/(Phone_Internet_Churn_Analysis__3[[#This Row],[Column2]]+Phone_Internet_Churn_Analysis__3[[#This Row],[Column3]])</f>
        <v>0.27519379844961239</v>
      </c>
      <c r="E17" s="1">
        <f>Phone_Internet_Churn_Analysis__3[[#This Row],[Column3]]/(Phone_Internet_Churn_Analysis__3[[#This Row],[Column2]]+Phone_Internet_Churn_Analysis__3[[#This Row],[Column3]])</f>
        <v>0.72480620155038755</v>
      </c>
    </row>
    <row r="18" spans="1:5" x14ac:dyDescent="0.25">
      <c r="A18" t="s">
        <v>71</v>
      </c>
      <c r="B18" t="s">
        <v>57</v>
      </c>
      <c r="C18" t="s">
        <v>66</v>
      </c>
      <c r="D18" s="1">
        <f>Phone_Internet_Churn_Analysis__3[[#This Row],[Column2]]/(Phone_Internet_Churn_Analysis__3[[#This Row],[Column2]]+Phone_Internet_Churn_Analysis__3[[#This Row],[Column3]])</f>
        <v>0.42126789366053169</v>
      </c>
      <c r="E18" s="1">
        <f>Phone_Internet_Churn_Analysis__3[[#This Row],[Column3]]/(Phone_Internet_Churn_Analysis__3[[#This Row],[Column2]]+Phone_Internet_Churn_Analysis__3[[#This Row],[Column3]])</f>
        <v>0.57873210633946826</v>
      </c>
    </row>
    <row r="19" spans="1:5" x14ac:dyDescent="0.25">
      <c r="A19" t="s">
        <v>72</v>
      </c>
      <c r="B19" t="s">
        <v>59</v>
      </c>
      <c r="C19" t="s">
        <v>67</v>
      </c>
      <c r="D19" s="1">
        <f>Phone_Internet_Churn_Analysis__3[[#This Row],[Column2]]/(Phone_Internet_Churn_Analysis__3[[#This Row],[Column2]]+Phone_Internet_Churn_Analysis__3[[#This Row],[Column3]])</f>
        <v>0.19973975276512687</v>
      </c>
      <c r="E19" s="1">
        <f>Phone_Internet_Churn_Analysis__3[[#This Row],[Column3]]/(Phone_Internet_Churn_Analysis__3[[#This Row],[Column2]]+Phone_Internet_Churn_Analysis__3[[#This Row],[Column3]])</f>
        <v>0.8002602472348731</v>
      </c>
    </row>
    <row r="23" spans="1:5" x14ac:dyDescent="0.25">
      <c r="A23" s="2" t="s">
        <v>88</v>
      </c>
      <c r="B23" t="s">
        <v>75</v>
      </c>
      <c r="C23" t="s">
        <v>76</v>
      </c>
    </row>
    <row r="24" spans="1:5" x14ac:dyDescent="0.25">
      <c r="A24" s="3" t="s">
        <v>72</v>
      </c>
      <c r="B24" s="1">
        <v>0.8002602472348731</v>
      </c>
      <c r="C24" s="1">
        <v>0.19973975276512687</v>
      </c>
    </row>
    <row r="25" spans="1:5" x14ac:dyDescent="0.25">
      <c r="A25" s="3" t="s">
        <v>70</v>
      </c>
      <c r="B25" s="1">
        <v>0.72480620155038755</v>
      </c>
      <c r="C25" s="1">
        <v>0.27519379844961239</v>
      </c>
    </row>
    <row r="26" spans="1:5" x14ac:dyDescent="0.25">
      <c r="A26" s="3" t="s">
        <v>68</v>
      </c>
      <c r="B26" s="1">
        <v>0.71878105332891684</v>
      </c>
      <c r="C26" s="1">
        <v>0.28121894667108316</v>
      </c>
    </row>
    <row r="27" spans="1:5" x14ac:dyDescent="0.25">
      <c r="A27" s="3" t="s">
        <v>69</v>
      </c>
      <c r="B27" s="1">
        <v>0.70950102529049897</v>
      </c>
      <c r="C27" s="1">
        <v>0.29049897470950103</v>
      </c>
    </row>
    <row r="28" spans="1:5" x14ac:dyDescent="0.25">
      <c r="A28" s="3" t="s">
        <v>71</v>
      </c>
      <c r="B28" s="1">
        <v>0.57873210633946826</v>
      </c>
      <c r="C28" s="1">
        <v>0.42126789366053169</v>
      </c>
    </row>
  </sheetData>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14A73-2012-42B9-A959-82F2125581B6}">
  <dimension ref="A1:D26"/>
  <sheetViews>
    <sheetView workbookViewId="0">
      <selection activeCell="L10" sqref="L10:L11"/>
    </sheetView>
  </sheetViews>
  <sheetFormatPr defaultRowHeight="15" x14ac:dyDescent="0.25"/>
  <cols>
    <col min="1" max="1" width="13.42578125" bestFit="1" customWidth="1"/>
    <col min="2" max="2" width="14.140625" bestFit="1" customWidth="1"/>
    <col min="3" max="3" width="13.85546875" bestFit="1" customWidth="1"/>
    <col min="4" max="4" width="10.85546875" bestFit="1" customWidth="1"/>
  </cols>
  <sheetData>
    <row r="1" spans="1:4" x14ac:dyDescent="0.25">
      <c r="A1" t="s">
        <v>90</v>
      </c>
      <c r="B1" t="s">
        <v>91</v>
      </c>
      <c r="C1" t="s">
        <v>79</v>
      </c>
      <c r="D1" t="s">
        <v>80</v>
      </c>
    </row>
    <row r="2" spans="1:4" x14ac:dyDescent="0.25">
      <c r="A2" t="s">
        <v>92</v>
      </c>
      <c r="B2" t="s">
        <v>93</v>
      </c>
      <c r="C2">
        <v>1024</v>
      </c>
      <c r="D2">
        <v>481</v>
      </c>
    </row>
    <row r="3" spans="1:4" x14ac:dyDescent="0.25">
      <c r="A3" t="s">
        <v>92</v>
      </c>
      <c r="B3" t="s">
        <v>94</v>
      </c>
      <c r="C3">
        <v>278</v>
      </c>
      <c r="D3">
        <v>408</v>
      </c>
    </row>
    <row r="4" spans="1:4" x14ac:dyDescent="0.25">
      <c r="A4" t="s">
        <v>95</v>
      </c>
      <c r="B4" t="s">
        <v>96</v>
      </c>
      <c r="C4">
        <v>20</v>
      </c>
      <c r="D4">
        <v>248</v>
      </c>
    </row>
    <row r="5" spans="1:4" x14ac:dyDescent="0.25">
      <c r="A5" t="s">
        <v>92</v>
      </c>
      <c r="B5" t="s">
        <v>97</v>
      </c>
      <c r="C5">
        <v>106</v>
      </c>
      <c r="D5">
        <v>176</v>
      </c>
    </row>
    <row r="6" spans="1:4" x14ac:dyDescent="0.25">
      <c r="A6" t="s">
        <v>92</v>
      </c>
      <c r="B6" t="s">
        <v>96</v>
      </c>
      <c r="C6">
        <v>158</v>
      </c>
      <c r="D6">
        <v>275</v>
      </c>
    </row>
    <row r="7" spans="1:4" x14ac:dyDescent="0.25">
      <c r="A7" t="s">
        <v>95</v>
      </c>
      <c r="B7" t="s">
        <v>94</v>
      </c>
      <c r="C7">
        <v>16</v>
      </c>
      <c r="D7">
        <v>199</v>
      </c>
    </row>
    <row r="8" spans="1:4" x14ac:dyDescent="0.25">
      <c r="A8" t="s">
        <v>92</v>
      </c>
      <c r="B8" t="s">
        <v>98</v>
      </c>
      <c r="C8">
        <v>89</v>
      </c>
      <c r="D8">
        <v>207</v>
      </c>
    </row>
    <row r="9" spans="1:4" x14ac:dyDescent="0.25">
      <c r="A9" t="s">
        <v>95</v>
      </c>
      <c r="B9" t="s">
        <v>93</v>
      </c>
      <c r="C9">
        <v>13</v>
      </c>
      <c r="D9">
        <v>109</v>
      </c>
    </row>
    <row r="10" spans="1:4" x14ac:dyDescent="0.25">
      <c r="A10" t="s">
        <v>95</v>
      </c>
      <c r="B10" t="s">
        <v>98</v>
      </c>
      <c r="C10">
        <v>82</v>
      </c>
      <c r="D10">
        <v>561</v>
      </c>
    </row>
    <row r="11" spans="1:4" x14ac:dyDescent="0.25">
      <c r="A11" t="s">
        <v>95</v>
      </c>
      <c r="B11" t="s">
        <v>97</v>
      </c>
      <c r="C11">
        <v>35</v>
      </c>
      <c r="D11">
        <v>243</v>
      </c>
    </row>
    <row r="12" spans="1:4" x14ac:dyDescent="0.25">
      <c r="A12" t="s">
        <v>99</v>
      </c>
      <c r="B12" t="s">
        <v>98</v>
      </c>
      <c r="C12">
        <v>42</v>
      </c>
      <c r="D12">
        <v>1258</v>
      </c>
    </row>
    <row r="13" spans="1:4" x14ac:dyDescent="0.25">
      <c r="A13" t="s">
        <v>99</v>
      </c>
      <c r="B13" t="s">
        <v>97</v>
      </c>
      <c r="C13">
        <v>4</v>
      </c>
      <c r="D13">
        <v>198</v>
      </c>
    </row>
    <row r="14" spans="1:4" x14ac:dyDescent="0.25">
      <c r="A14" t="s">
        <v>99</v>
      </c>
      <c r="B14" t="s">
        <v>96</v>
      </c>
      <c r="C14">
        <v>2</v>
      </c>
      <c r="D14">
        <v>129</v>
      </c>
    </row>
    <row r="15" spans="1:4" x14ac:dyDescent="0.25">
      <c r="A15" t="s">
        <v>99</v>
      </c>
      <c r="B15" t="s">
        <v>93</v>
      </c>
      <c r="C15">
        <v>0</v>
      </c>
      <c r="D15">
        <v>105</v>
      </c>
    </row>
    <row r="16" spans="1:4" x14ac:dyDescent="0.25">
      <c r="A16" t="s">
        <v>99</v>
      </c>
      <c r="B16" t="s">
        <v>94</v>
      </c>
      <c r="C16">
        <v>0</v>
      </c>
      <c r="D16">
        <v>123</v>
      </c>
    </row>
    <row r="20" spans="1:3" x14ac:dyDescent="0.25">
      <c r="A20" s="2" t="s">
        <v>12</v>
      </c>
      <c r="B20" t="s">
        <v>100</v>
      </c>
      <c r="C20" t="s">
        <v>30</v>
      </c>
    </row>
    <row r="21" spans="1:3" x14ac:dyDescent="0.25">
      <c r="A21" s="3" t="s">
        <v>93</v>
      </c>
      <c r="B21">
        <v>695</v>
      </c>
      <c r="C21">
        <v>1037</v>
      </c>
    </row>
    <row r="22" spans="1:3" x14ac:dyDescent="0.25">
      <c r="A22" s="3" t="s">
        <v>94</v>
      </c>
      <c r="B22">
        <v>730</v>
      </c>
      <c r="C22">
        <v>294</v>
      </c>
    </row>
    <row r="23" spans="1:3" x14ac:dyDescent="0.25">
      <c r="A23" s="3" t="s">
        <v>96</v>
      </c>
      <c r="B23">
        <v>652</v>
      </c>
      <c r="C23">
        <v>180</v>
      </c>
    </row>
    <row r="24" spans="1:3" x14ac:dyDescent="0.25">
      <c r="A24" s="3" t="s">
        <v>97</v>
      </c>
      <c r="B24">
        <v>617</v>
      </c>
      <c r="C24">
        <v>145</v>
      </c>
    </row>
    <row r="25" spans="1:3" x14ac:dyDescent="0.25">
      <c r="A25" s="3" t="s">
        <v>98</v>
      </c>
      <c r="B25">
        <v>2026</v>
      </c>
      <c r="C25">
        <v>213</v>
      </c>
    </row>
    <row r="26" spans="1:3" x14ac:dyDescent="0.25">
      <c r="A26" s="3" t="s">
        <v>13</v>
      </c>
      <c r="B26">
        <v>4720</v>
      </c>
      <c r="C26">
        <v>1869</v>
      </c>
    </row>
  </sheetData>
  <pageMargins left="0.7" right="0.7" top="0.75" bottom="0.75" header="0.3" footer="0.3"/>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81AC8-D5B7-4A67-8112-4E2D98391A0C}">
  <dimension ref="A1:F17"/>
  <sheetViews>
    <sheetView workbookViewId="0">
      <selection activeCell="W32" sqref="W32"/>
    </sheetView>
  </sheetViews>
  <sheetFormatPr defaultRowHeight="15" x14ac:dyDescent="0.25"/>
  <cols>
    <col min="1" max="1" width="12.7109375" bestFit="1" customWidth="1"/>
    <col min="2" max="2" width="14.7109375" bestFit="1" customWidth="1"/>
    <col min="3" max="3" width="11.140625" bestFit="1" customWidth="1"/>
    <col min="4" max="4" width="10.85546875" bestFit="1" customWidth="1"/>
    <col min="5" max="5" width="12.85546875" bestFit="1" customWidth="1"/>
    <col min="6" max="6" width="13" bestFit="1" customWidth="1"/>
  </cols>
  <sheetData>
    <row r="1" spans="1:6" x14ac:dyDescent="0.25">
      <c r="A1" t="s">
        <v>77</v>
      </c>
      <c r="B1" t="s">
        <v>78</v>
      </c>
      <c r="C1" t="s">
        <v>79</v>
      </c>
      <c r="D1" t="s">
        <v>80</v>
      </c>
      <c r="E1" t="s">
        <v>34</v>
      </c>
      <c r="F1" t="s">
        <v>81</v>
      </c>
    </row>
    <row r="2" spans="1:6" x14ac:dyDescent="0.25">
      <c r="A2" t="s">
        <v>82</v>
      </c>
      <c r="B2">
        <v>3598</v>
      </c>
      <c r="C2">
        <v>1051</v>
      </c>
      <c r="D2">
        <v>2547</v>
      </c>
      <c r="E2" s="1">
        <v>0.29210000000000003</v>
      </c>
      <c r="F2" s="1">
        <v>0.70789999999999997</v>
      </c>
    </row>
    <row r="3" spans="1:6" x14ac:dyDescent="0.25">
      <c r="A3" t="s">
        <v>83</v>
      </c>
      <c r="B3">
        <v>630</v>
      </c>
      <c r="C3">
        <v>426</v>
      </c>
      <c r="D3">
        <v>204</v>
      </c>
      <c r="E3" s="1">
        <v>0.67620000000000002</v>
      </c>
      <c r="F3" s="1">
        <v>0.32379999999999998</v>
      </c>
    </row>
    <row r="4" spans="1:6" x14ac:dyDescent="0.25">
      <c r="A4" t="s">
        <v>84</v>
      </c>
      <c r="B4">
        <v>602</v>
      </c>
      <c r="C4">
        <v>161</v>
      </c>
      <c r="D4">
        <v>441</v>
      </c>
      <c r="E4" s="1">
        <v>0.26740000000000003</v>
      </c>
      <c r="F4" s="1">
        <v>0.73260000000000003</v>
      </c>
    </row>
    <row r="5" spans="1:6" x14ac:dyDescent="0.25">
      <c r="A5" t="s">
        <v>85</v>
      </c>
      <c r="B5">
        <v>520</v>
      </c>
      <c r="C5">
        <v>35</v>
      </c>
      <c r="D5">
        <v>485</v>
      </c>
      <c r="E5" s="1">
        <v>6.7299999999999999E-2</v>
      </c>
      <c r="F5" s="1">
        <v>0.93269999999999997</v>
      </c>
    </row>
    <row r="6" spans="1:6" x14ac:dyDescent="0.25">
      <c r="A6" t="s">
        <v>86</v>
      </c>
      <c r="B6">
        <v>415</v>
      </c>
      <c r="C6">
        <v>95</v>
      </c>
      <c r="D6">
        <v>320</v>
      </c>
      <c r="E6" s="1">
        <v>0.22889999999999999</v>
      </c>
      <c r="F6" s="1">
        <v>0.77110000000000001</v>
      </c>
    </row>
    <row r="7" spans="1:6" x14ac:dyDescent="0.25">
      <c r="A7" t="s">
        <v>87</v>
      </c>
      <c r="B7">
        <v>824</v>
      </c>
      <c r="C7">
        <v>101</v>
      </c>
      <c r="D7">
        <v>723</v>
      </c>
      <c r="E7" s="1">
        <v>0.1226</v>
      </c>
      <c r="F7" s="1">
        <v>0.87739999999999996</v>
      </c>
    </row>
    <row r="11" spans="1:6" x14ac:dyDescent="0.25">
      <c r="A11" s="2" t="s">
        <v>89</v>
      </c>
      <c r="B11" t="s">
        <v>74</v>
      </c>
      <c r="C11" t="s">
        <v>73</v>
      </c>
    </row>
    <row r="12" spans="1:6" x14ac:dyDescent="0.25">
      <c r="A12" s="3" t="s">
        <v>85</v>
      </c>
      <c r="B12" s="1">
        <v>0.93269999999999997</v>
      </c>
      <c r="C12" s="1">
        <v>6.7299999999999999E-2</v>
      </c>
    </row>
    <row r="13" spans="1:6" x14ac:dyDescent="0.25">
      <c r="A13" s="3" t="s">
        <v>87</v>
      </c>
      <c r="B13" s="1">
        <v>0.87739999999999996</v>
      </c>
      <c r="C13" s="1">
        <v>0.1226</v>
      </c>
    </row>
    <row r="14" spans="1:6" x14ac:dyDescent="0.25">
      <c r="A14" s="3" t="s">
        <v>86</v>
      </c>
      <c r="B14" s="1">
        <v>0.77110000000000001</v>
      </c>
      <c r="C14" s="1">
        <v>0.22889999999999999</v>
      </c>
    </row>
    <row r="15" spans="1:6" x14ac:dyDescent="0.25">
      <c r="A15" s="3" t="s">
        <v>84</v>
      </c>
      <c r="B15" s="1">
        <v>0.73260000000000003</v>
      </c>
      <c r="C15" s="1">
        <v>0.26740000000000003</v>
      </c>
    </row>
    <row r="16" spans="1:6" x14ac:dyDescent="0.25">
      <c r="A16" s="3" t="s">
        <v>82</v>
      </c>
      <c r="B16" s="1">
        <v>0.70789999999999997</v>
      </c>
      <c r="C16" s="1">
        <v>0.29210000000000003</v>
      </c>
    </row>
    <row r="17" spans="1:3" x14ac:dyDescent="0.25">
      <c r="A17" s="3" t="s">
        <v>83</v>
      </c>
      <c r="B17" s="1">
        <v>0.32379999999999998</v>
      </c>
      <c r="C17" s="1">
        <v>0.67620000000000002</v>
      </c>
    </row>
  </sheetData>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388C1-2208-4F4C-B3E0-F6F68AC456E6}">
  <dimension ref="A5:S26"/>
  <sheetViews>
    <sheetView showGridLines="0" showRowColHeaders="0" topLeftCell="A5" workbookViewId="0">
      <selection activeCell="R26" sqref="R26"/>
    </sheetView>
  </sheetViews>
  <sheetFormatPr defaultColWidth="0" defaultRowHeight="15" zeroHeight="1" x14ac:dyDescent="0.25"/>
  <cols>
    <col min="1" max="19" width="9.140625" style="5" customWidth="1"/>
    <col min="20" max="16384" width="9.140625" style="5" hidden="1"/>
  </cols>
  <sheetData>
    <row r="5" s="5" customFormat="1" x14ac:dyDescent="0.25"/>
    <row r="6" s="5" customFormat="1" x14ac:dyDescent="0.25"/>
    <row r="7" s="5" customFormat="1" x14ac:dyDescent="0.25"/>
    <row r="8" s="5" customFormat="1" x14ac:dyDescent="0.25"/>
    <row r="9" s="5" customFormat="1" x14ac:dyDescent="0.25"/>
    <row r="10" s="5" customFormat="1" x14ac:dyDescent="0.25"/>
    <row r="11" s="5" customFormat="1" x14ac:dyDescent="0.25"/>
    <row r="12" s="5" customFormat="1" x14ac:dyDescent="0.25"/>
    <row r="13" s="5" customFormat="1" x14ac:dyDescent="0.25"/>
    <row r="14" s="5" customFormat="1" x14ac:dyDescent="0.25"/>
    <row r="15" s="5" customFormat="1" x14ac:dyDescent="0.25"/>
    <row r="16" s="5" customFormat="1" x14ac:dyDescent="0.25"/>
    <row r="17" spans="18:18" x14ac:dyDescent="0.25"/>
    <row r="18" spans="18:18" x14ac:dyDescent="0.25"/>
    <row r="19" spans="18:18" x14ac:dyDescent="0.25"/>
    <row r="20" spans="18:18" x14ac:dyDescent="0.25"/>
    <row r="21" spans="18:18" x14ac:dyDescent="0.25"/>
    <row r="22" spans="18:18" x14ac:dyDescent="0.25"/>
    <row r="23" spans="18:18" x14ac:dyDescent="0.25"/>
    <row r="24" spans="18:18" x14ac:dyDescent="0.25"/>
    <row r="25" spans="18:18" x14ac:dyDescent="0.25"/>
    <row r="26" spans="18:18" x14ac:dyDescent="0.25">
      <c r="R26" s="7" t="s">
        <v>101</v>
      </c>
    </row>
  </sheetData>
  <hyperlinks>
    <hyperlink ref="R26" location="Dashboard!A1" display="Dashboard Link" xr:uid="{957C7240-637E-44AD-A2C4-BB4BB34C6CE6}"/>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506A3-D154-4360-9009-926AA58CC499}">
  <dimension ref="A1:Q30"/>
  <sheetViews>
    <sheetView showGridLines="0" showRowColHeaders="0" workbookViewId="0">
      <selection activeCell="P30" sqref="P30"/>
    </sheetView>
  </sheetViews>
  <sheetFormatPr defaultColWidth="0" defaultRowHeight="15" zeroHeight="1" x14ac:dyDescent="0.25"/>
  <cols>
    <col min="1" max="16" width="9.140625" customWidth="1"/>
    <col min="17" max="17" width="5.7109375" customWidth="1"/>
    <col min="18" max="16384" width="9.140625" hidden="1"/>
  </cols>
  <sheetData>
    <row r="1" spans="7:8" x14ac:dyDescent="0.25"/>
    <row r="2" spans="7:8" x14ac:dyDescent="0.25"/>
    <row r="3" spans="7:8" ht="30" x14ac:dyDescent="0.4">
      <c r="G3" s="6"/>
      <c r="H3" s="12" t="s">
        <v>106</v>
      </c>
    </row>
    <row r="4" spans="7:8" ht="1.5" customHeight="1" x14ac:dyDescent="0.25"/>
    <row r="6" spans="7:8" ht="6.75" customHeight="1" x14ac:dyDescent="0.25"/>
    <row r="7" spans="7:8" x14ac:dyDescent="0.25"/>
    <row r="8" spans="7:8" x14ac:dyDescent="0.25"/>
    <row r="9" spans="7:8" x14ac:dyDescent="0.25"/>
    <row r="10" spans="7:8" x14ac:dyDescent="0.25"/>
    <row r="11" spans="7:8" x14ac:dyDescent="0.25"/>
    <row r="12" spans="7:8" x14ac:dyDescent="0.25"/>
    <row r="13" spans="7:8" x14ac:dyDescent="0.25"/>
    <row r="14" spans="7:8" x14ac:dyDescent="0.25"/>
    <row r="15" spans="7:8" x14ac:dyDescent="0.25"/>
    <row r="16" spans="7:8" x14ac:dyDescent="0.25"/>
    <row r="17" spans="16:16" x14ac:dyDescent="0.25"/>
    <row r="18" spans="16:16" x14ac:dyDescent="0.25"/>
    <row r="19" spans="16:16" x14ac:dyDescent="0.25"/>
    <row r="20" spans="16:16" x14ac:dyDescent="0.25"/>
    <row r="21" spans="16:16" x14ac:dyDescent="0.25"/>
    <row r="22" spans="16:16" x14ac:dyDescent="0.25"/>
    <row r="23" spans="16:16" x14ac:dyDescent="0.25"/>
    <row r="24" spans="16:16" x14ac:dyDescent="0.25"/>
    <row r="25" spans="16:16" x14ac:dyDescent="0.25"/>
    <row r="26" spans="16:16" x14ac:dyDescent="0.25"/>
    <row r="27" spans="16:16" x14ac:dyDescent="0.25"/>
    <row r="28" spans="16:16" x14ac:dyDescent="0.25"/>
    <row r="29" spans="16:16" x14ac:dyDescent="0.25"/>
    <row r="30" spans="16:16" x14ac:dyDescent="0.25">
      <c r="P30" s="7" t="s">
        <v>101</v>
      </c>
    </row>
  </sheetData>
  <hyperlinks>
    <hyperlink ref="P30" location="Dashboard!A1" display="Dashboard Link" xr:uid="{DD62BF23-EAA5-4CF8-8418-C1A8ED7225A8}"/>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58A3C-C37C-400C-8FFE-37E6CA02C363}">
  <dimension ref="A1:XFC1048576"/>
  <sheetViews>
    <sheetView showGridLines="0" showRowColHeaders="0" zoomScale="85" zoomScaleNormal="85" workbookViewId="0">
      <selection activeCell="A33" sqref="A33"/>
    </sheetView>
  </sheetViews>
  <sheetFormatPr defaultColWidth="0" defaultRowHeight="15" zeroHeight="1" x14ac:dyDescent="0.25"/>
  <cols>
    <col min="1" max="1" width="10.5703125" style="8" customWidth="1"/>
    <col min="2" max="2" width="10.140625" style="8" customWidth="1"/>
    <col min="3" max="34" width="9.140625" style="4" customWidth="1"/>
    <col min="35" max="16383" width="9.140625" style="4" hidden="1"/>
    <col min="16384" max="16384" width="37.85546875" style="4" customWidth="1"/>
  </cols>
  <sheetData>
    <row r="1" spans="1:2" x14ac:dyDescent="0.25"/>
    <row r="2" spans="1:2" x14ac:dyDescent="0.25"/>
    <row r="3" spans="1:2" x14ac:dyDescent="0.25"/>
    <row r="4" spans="1:2" x14ac:dyDescent="0.25"/>
    <row r="5" spans="1:2" x14ac:dyDescent="0.25"/>
    <row r="6" spans="1:2" x14ac:dyDescent="0.25"/>
    <row r="7" spans="1:2" x14ac:dyDescent="0.25"/>
    <row r="8" spans="1:2" x14ac:dyDescent="0.25"/>
    <row r="9" spans="1:2" s="11" customFormat="1" ht="25.5" x14ac:dyDescent="0.35">
      <c r="A9" s="9" t="s">
        <v>102</v>
      </c>
      <c r="B9" s="10"/>
    </row>
    <row r="10" spans="1:2" x14ac:dyDescent="0.25"/>
    <row r="11" spans="1:2" x14ac:dyDescent="0.25"/>
    <row r="12" spans="1:2" x14ac:dyDescent="0.25"/>
    <row r="13" spans="1:2" x14ac:dyDescent="0.25"/>
    <row r="14" spans="1:2" x14ac:dyDescent="0.25"/>
    <row r="15" spans="1:2" x14ac:dyDescent="0.25"/>
    <row r="16" spans="1:2" x14ac:dyDescent="0.25"/>
    <row r="17" spans="1:1" ht="25.5" x14ac:dyDescent="0.35">
      <c r="A17" s="9" t="s">
        <v>103</v>
      </c>
    </row>
    <row r="18" spans="1:1" x14ac:dyDescent="0.25"/>
    <row r="19" spans="1:1" x14ac:dyDescent="0.25"/>
    <row r="20" spans="1:1" x14ac:dyDescent="0.25"/>
    <row r="21" spans="1:1" x14ac:dyDescent="0.25"/>
    <row r="22" spans="1:1" x14ac:dyDescent="0.25"/>
    <row r="23" spans="1:1" x14ac:dyDescent="0.25"/>
    <row r="24" spans="1:1" x14ac:dyDescent="0.25"/>
    <row r="25" spans="1:1" ht="25.5" x14ac:dyDescent="0.35">
      <c r="A25" s="9" t="s">
        <v>104</v>
      </c>
    </row>
    <row r="26" spans="1:1" x14ac:dyDescent="0.25"/>
    <row r="27" spans="1:1" x14ac:dyDescent="0.25"/>
    <row r="28" spans="1:1" x14ac:dyDescent="0.25"/>
    <row r="29" spans="1:1" x14ac:dyDescent="0.25"/>
    <row r="30" spans="1:1" x14ac:dyDescent="0.25"/>
    <row r="31" spans="1:1" x14ac:dyDescent="0.25"/>
    <row r="32" spans="1:1" x14ac:dyDescent="0.25"/>
    <row r="33" spans="1:1" ht="25.5" x14ac:dyDescent="0.35">
      <c r="A33" s="9" t="s">
        <v>105</v>
      </c>
    </row>
    <row r="34" spans="1:1" x14ac:dyDescent="0.25"/>
    <row r="35" spans="1:1" x14ac:dyDescent="0.25"/>
    <row r="36" spans="1:1" x14ac:dyDescent="0.25"/>
    <row r="37" spans="1:1" x14ac:dyDescent="0.25"/>
    <row r="38" spans="1:1" x14ac:dyDescent="0.25"/>
    <row r="39" spans="1:1" x14ac:dyDescent="0.25"/>
    <row r="40" spans="1:1" x14ac:dyDescent="0.25"/>
    <row r="41" spans="1:1" x14ac:dyDescent="0.25"/>
    <row r="42" spans="1:1" x14ac:dyDescent="0.25"/>
    <row r="43" spans="1:1" x14ac:dyDescent="0.25"/>
    <row r="44" spans="1:1" x14ac:dyDescent="0.25"/>
    <row r="45" spans="1:1" x14ac:dyDescent="0.25"/>
    <row r="46" spans="1:1" x14ac:dyDescent="0.25"/>
    <row r="47" spans="1:1" x14ac:dyDescent="0.25"/>
    <row r="48" spans="1:1" x14ac:dyDescent="0.25"/>
    <row r="49" x14ac:dyDescent="0.25"/>
    <row r="50" x14ac:dyDescent="0.25"/>
    <row r="51" x14ac:dyDescent="0.25"/>
    <row r="52" x14ac:dyDescent="0.25"/>
    <row r="53" x14ac:dyDescent="0.25"/>
    <row r="54" x14ac:dyDescent="0.25"/>
    <row r="55" x14ac:dyDescent="0.25"/>
    <row r="56" x14ac:dyDescent="0.25"/>
    <row r="57" x14ac:dyDescent="0.25"/>
    <row r="58" x14ac:dyDescent="0.25"/>
    <row r="59" ht="55.5" customHeight="1" x14ac:dyDescent="0.25"/>
    <row r="1048576" s="4" customFormat="1" ht="15.75" hidden="1" customHeight="1" x14ac:dyDescent="0.25"/>
  </sheetData>
  <hyperlinks>
    <hyperlink ref="A9" location="Purpose!A1" display="Purpose" xr:uid="{5B322E52-5479-4D48-8AD3-3EE07DCF3A36}"/>
    <hyperlink ref="A17" location="Goals!A1" display="Goals " xr:uid="{9B0DB967-2C27-48B7-B6D3-61159B5BDBB4}"/>
    <hyperlink ref="A25" location="Summary!A1" display="Summary" xr:uid="{C87B2069-1400-483B-A8DE-3F33E19234D1}"/>
    <hyperlink ref="A33" location="'Next Steps'!A1" display="Next Steps" xr:uid="{77CFDE14-4279-4CDF-9DC0-9FB1410A51A6}"/>
  </hyperlink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8A441-A8D9-4EF1-93FB-85E5C0AAE565}">
  <dimension ref="Q1:Q24"/>
  <sheetViews>
    <sheetView showGridLines="0" showRowColHeaders="0" workbookViewId="0">
      <selection activeCell="L24" sqref="L24"/>
    </sheetView>
  </sheetViews>
  <sheetFormatPr defaultColWidth="9.140625" defaultRowHeight="15" zeroHeight="1" x14ac:dyDescent="0.25"/>
  <cols>
    <col min="1" max="17" width="9.140625" customWidth="1"/>
    <col min="18" max="16383" width="0" hidden="1" customWidth="1"/>
    <col min="16384" max="16384" width="10.28515625" customWidth="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spans="17:17" x14ac:dyDescent="0.25"/>
    <row r="18" spans="17:17" x14ac:dyDescent="0.25"/>
    <row r="19" spans="17:17" x14ac:dyDescent="0.25"/>
    <row r="20" spans="17:17" x14ac:dyDescent="0.25"/>
    <row r="21" spans="17:17" x14ac:dyDescent="0.25"/>
    <row r="22" spans="17:17" x14ac:dyDescent="0.25"/>
    <row r="23" spans="17:17" x14ac:dyDescent="0.25"/>
    <row r="24" spans="17:17" x14ac:dyDescent="0.25">
      <c r="Q24" s="7" t="s">
        <v>101</v>
      </c>
    </row>
  </sheetData>
  <hyperlinks>
    <hyperlink ref="Q24" location="Dashboard!A1" display="Dashboard Link" xr:uid="{991F6BFF-80E6-46FD-AAF8-8FBB38F9583A}"/>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D8BA4-86CF-4A94-AE26-1F78620F6A73}">
  <dimension ref="A1:XFD40"/>
  <sheetViews>
    <sheetView showGridLines="0" tabSelected="1" workbookViewId="0">
      <selection activeCell="I22" sqref="I22"/>
    </sheetView>
  </sheetViews>
  <sheetFormatPr defaultColWidth="0" defaultRowHeight="15" zeroHeight="1" x14ac:dyDescent="0.25"/>
  <cols>
    <col min="1" max="20" width="9.140625" customWidth="1"/>
    <col min="21" max="21" width="2.42578125" customWidth="1"/>
    <col min="22" max="16383" width="9.140625" hidden="1"/>
    <col min="16384" max="16384" width="41.85546875" customWidth="1"/>
  </cols>
  <sheetData>
    <row r="1" customFormat="1" x14ac:dyDescent="0.25"/>
    <row r="2" customFormat="1" x14ac:dyDescent="0.25"/>
    <row r="3" customFormat="1" x14ac:dyDescent="0.25"/>
    <row r="4" customFormat="1" x14ac:dyDescent="0.25"/>
    <row r="5" customFormat="1" x14ac:dyDescent="0.25"/>
    <row r="6" customFormat="1" x14ac:dyDescent="0.25"/>
    <row r="7" customFormat="1" x14ac:dyDescent="0.25"/>
    <row r="8" customFormat="1" x14ac:dyDescent="0.25"/>
    <row r="9" customFormat="1" x14ac:dyDescent="0.25"/>
    <row r="10" customFormat="1" x14ac:dyDescent="0.25"/>
    <row r="11" customFormat="1" x14ac:dyDescent="0.25"/>
    <row r="12" customFormat="1" x14ac:dyDescent="0.25"/>
    <row r="13" customFormat="1" x14ac:dyDescent="0.25"/>
    <row r="14" customFormat="1" x14ac:dyDescent="0.25"/>
    <row r="15" customFormat="1" x14ac:dyDescent="0.25"/>
    <row r="16" customFormat="1" x14ac:dyDescent="0.25"/>
    <row r="17" spans="19:19" x14ac:dyDescent="0.25"/>
    <row r="18" spans="19:19" x14ac:dyDescent="0.25"/>
    <row r="19" spans="19:19" x14ac:dyDescent="0.25"/>
    <row r="20" spans="19:19" x14ac:dyDescent="0.25"/>
    <row r="21" spans="19:19" x14ac:dyDescent="0.25"/>
    <row r="22" spans="19:19" x14ac:dyDescent="0.25">
      <c r="S22" s="13"/>
    </row>
    <row r="33" customFormat="1" hidden="1" x14ac:dyDescent="0.25"/>
    <row r="34" customFormat="1" hidden="1" x14ac:dyDescent="0.25"/>
    <row r="35" customFormat="1" hidden="1" x14ac:dyDescent="0.25"/>
    <row r="36" customFormat="1" hidden="1" x14ac:dyDescent="0.25"/>
    <row r="37" customFormat="1" hidden="1" x14ac:dyDescent="0.25"/>
    <row r="38" customFormat="1" hidden="1" x14ac:dyDescent="0.25"/>
    <row r="39" customFormat="1" hidden="1" x14ac:dyDescent="0.25"/>
    <row r="40" customFormat="1" hidden="1"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895D1FC-9845-4FC2-A127-A7B4FA180C4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Q3_Customer_Stats</vt:lpstr>
      <vt:lpstr>Churn_Category_Analysis</vt:lpstr>
      <vt:lpstr>Churn_Reason_Analysis</vt:lpstr>
      <vt:lpstr>City_Churn_Analysis</vt:lpstr>
      <vt:lpstr>Phone_Internet_Churn_Analysis </vt:lpstr>
      <vt:lpstr>Contract_Tenure_Churn_Analysis</vt:lpstr>
      <vt:lpstr>Offer_Churn_Analysis</vt:lpstr>
      <vt:lpstr>Purpose</vt:lpstr>
      <vt:lpstr>Goals</vt:lpstr>
      <vt:lpstr>Dashboard</vt:lpstr>
      <vt:lpstr>Summary</vt:lpstr>
      <vt:lpstr>Next Steps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Anindo Biswas</dc:creator>
  <cp:lastModifiedBy>Anindo Biswas</cp:lastModifiedBy>
  <dcterms:created xsi:type="dcterms:W3CDTF">2026-02-14T00:43:50Z</dcterms:created>
  <dcterms:modified xsi:type="dcterms:W3CDTF">2026-02-20T20:37:54Z</dcterms:modified>
</cp:coreProperties>
</file>